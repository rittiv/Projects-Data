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_Travis/EXCEL/TC Data Handling in Excel/11 Multi-Condition Lookup with INDEX and MATCH/"/>
    </mc:Choice>
  </mc:AlternateContent>
  <bookViews>
    <workbookView xWindow="10000" yWindow="374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marketing_perf!$B$1:$B$381</definedName>
    <definedName name="CATEGORY">marketing_perf!$C$1:$C$381</definedName>
    <definedName name="MARKETING_HEADERS">marketing_perf!$A$1:$H$1</definedName>
    <definedName name="MARKETING_PERF">marketing_perf!$A$1:$L$381</definedName>
    <definedName name="SALES">marketing_perf!$G$1:$G$381</definedName>
    <definedName name="SIGNUPS">marketing_perf!$E$1:$E$381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" i="6" l="1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  <c r="F18" i="9" a="1"/>
  <c r="F18" i="9"/>
  <c r="F17" i="9" a="1"/>
  <c r="F17" i="9"/>
  <c r="F16" i="9" a="1"/>
  <c r="F16" i="9"/>
  <c r="F12" i="9" a="1"/>
  <c r="F12" i="9"/>
  <c r="E12" i="9" a="1"/>
  <c r="E12" i="9"/>
  <c r="F11" i="9" a="1"/>
  <c r="F11" i="9"/>
  <c r="E11" i="9" a="1"/>
  <c r="E11" i="9"/>
  <c r="F10" i="9" a="1"/>
  <c r="F10" i="9"/>
  <c r="E10" i="9" a="1"/>
  <c r="E10" i="9"/>
  <c r="E387" i="6"/>
  <c r="E386" i="6"/>
  <c r="E385" i="6"/>
  <c r="E384" i="6"/>
  <c r="E383" i="6"/>
  <c r="M15" i="9"/>
  <c r="M14" i="9"/>
  <c r="L15" i="9"/>
  <c r="L14" i="9"/>
  <c r="K15" i="9"/>
  <c r="K14" i="9"/>
  <c r="M10" i="9"/>
  <c r="L10" i="9"/>
  <c r="K10" i="9"/>
  <c r="J10" i="9"/>
  <c r="J6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<sst xmlns="http://schemas.openxmlformats.org/spreadsheetml/2006/main" count="1232" uniqueCount="428">
  <si>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</si>
  <si>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</si>
  <si>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</si>
  <si>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</si>
  <si>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</si>
  <si>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</si>
  <si>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</si>
  <si>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</si>
  <si>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</si>
  <si>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</si>
  <si>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</si>
  <si>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</si>
  <si>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</si>
  <si>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</si>
  <si>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</si>
  <si>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</si>
  <si>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</si>
  <si>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</si>
  <si>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</si>
  <si>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</si>
  <si>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</si>
  <si>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</si>
  <si>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</si>
  <si>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</si>
  <si>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</si>
  <si>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</si>
  <si>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</si>
  <si>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</si>
  <si>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</si>
  <si>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</si>
  <si>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</si>
  <si>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</si>
  <si>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</si>
  <si>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</si>
  <si>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</si>
  <si>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</si>
  <si>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</si>
  <si>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</si>
  <si>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</si>
  <si>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</si>
  <si>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</si>
  <si>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</si>
  <si>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</si>
  <si>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</si>
  <si>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</si>
  <si>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</si>
  <si>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</si>
  <si>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</si>
  <si>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</si>
  <si>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</si>
  <si>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</si>
  <si>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</si>
  <si>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</si>
  <si>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</si>
  <si>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</si>
  <si>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</si>
  <si>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</si>
  <si>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</si>
  <si>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</si>
  <si>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</si>
  <si>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</si>
  <si>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</si>
  <si>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</si>
  <si>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</si>
  <si>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</si>
  <si>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</si>
  <si>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</si>
  <si>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</si>
  <si>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</si>
  <si>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</si>
  <si>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</si>
  <si>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</si>
  <si>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</si>
  <si>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</si>
  <si>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</si>
  <si>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</si>
  <si>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</si>
  <si>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</si>
  <si>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</si>
  <si>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</si>
  <si>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</si>
  <si>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</si>
  <si>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</si>
  <si>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</si>
  <si>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</si>
  <si>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</si>
  <si>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</si>
  <si>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</si>
  <si>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</si>
  <si>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</si>
  <si>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</si>
  <si>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</si>
  <si>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</si>
  <si>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</si>
  <si>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</si>
  <si>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</si>
  <si>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</si>
  <si>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</si>
  <si>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</si>
  <si>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</si>
  <si>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</si>
  <si>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</si>
  <si>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</si>
  <si>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</si>
  <si>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</si>
  <si>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</si>
  <si>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</si>
  <si>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</si>
  <si>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</si>
  <si>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</si>
  <si>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</si>
  <si>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</si>
  <si>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</si>
  <si>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</si>
  <si>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</si>
  <si>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</si>
  <si>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</si>
  <si>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</si>
  <si>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</si>
  <si>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</si>
  <si>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</si>
  <si>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</si>
  <si>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</si>
  <si>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</si>
  <si>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</si>
  <si>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</si>
  <si>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</si>
  <si>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</si>
  <si>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</si>
  <si>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</si>
  <si>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</si>
  <si>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</si>
  <si>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</si>
  <si>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</si>
  <si>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</si>
  <si>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</si>
  <si>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</si>
  <si>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</si>
  <si>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</si>
  <si>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</si>
  <si>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</si>
  <si>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</si>
  <si>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</si>
  <si>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</si>
  <si>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</si>
  <si>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</si>
  <si>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</si>
  <si>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</si>
  <si>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</si>
  <si>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</si>
  <si>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</si>
  <si>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</si>
  <si>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</si>
  <si>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</si>
  <si>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</si>
  <si>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</si>
  <si>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</si>
  <si>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</si>
  <si>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</si>
  <si>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</si>
  <si>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</si>
  <si>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</si>
  <si>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</si>
  <si>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</si>
  <si>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</si>
  <si>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</si>
  <si>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</si>
  <si>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</si>
  <si>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</si>
  <si>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</si>
  <si>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</si>
  <si>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</si>
  <si>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</si>
  <si>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</si>
  <si>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</si>
  <si>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</si>
  <si>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</si>
  <si>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</si>
  <si>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</si>
  <si>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</si>
  <si>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</si>
  <si>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</si>
  <si>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</si>
  <si>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</si>
  <si>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</si>
  <si>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</si>
  <si>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</si>
  <si>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</si>
  <si>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</si>
  <si>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</si>
  <si>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</si>
  <si>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</si>
  <si>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</si>
  <si>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</si>
  <si>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</si>
  <si>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</si>
  <si>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</si>
  <si>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</si>
  <si>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</si>
  <si>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</si>
  <si>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</si>
  <si>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</si>
  <si>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</si>
  <si>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</si>
  <si>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</si>
  <si>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</si>
  <si>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</si>
  <si>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</si>
  <si>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</si>
  <si>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</si>
  <si>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</si>
  <si>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</si>
  <si>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</si>
  <si>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</si>
  <si>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</si>
  <si>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</si>
  <si>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</si>
  <si>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</si>
  <si>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</si>
  <si>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</si>
  <si>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</si>
  <si>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</si>
  <si>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</si>
  <si>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</si>
  <si>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</si>
  <si>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</si>
  <si>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</si>
  <si>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</si>
  <si>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</si>
  <si>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</si>
  <si>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</si>
  <si>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</si>
  <si>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</si>
  <si>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</si>
  <si>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</si>
  <si>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</si>
  <si>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</si>
  <si>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</si>
  <si>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</si>
  <si>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</si>
  <si>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</si>
  <si>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</si>
  <si>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</si>
  <si>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</si>
  <si>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</si>
  <si>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</si>
  <si>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</si>
  <si>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</si>
  <si>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</si>
  <si>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</si>
  <si>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</si>
  <si>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</si>
  <si>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</si>
  <si>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</si>
  <si>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</si>
  <si>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</si>
  <si>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</si>
  <si>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</si>
  <si>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</si>
  <si>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</si>
  <si>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</si>
  <si>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</si>
  <si>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</si>
  <si>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</si>
  <si>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</si>
  <si>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</si>
  <si>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</si>
  <si>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</si>
  <si>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</si>
  <si>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</si>
  <si>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</si>
  <si>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</si>
  <si>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</si>
  <si>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</si>
  <si>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</si>
  <si>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</si>
  <si>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</si>
  <si>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</si>
  <si>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</si>
  <si>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</si>
  <si>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</si>
  <si>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</si>
  <si>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</si>
  <si>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</si>
  <si>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</si>
  <si>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</si>
  <si>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</si>
  <si>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</si>
  <si>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</si>
  <si>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</si>
  <si>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</si>
  <si>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</si>
  <si>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</si>
  <si>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</si>
  <si>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</si>
  <si>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</si>
  <si>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</si>
  <si>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</si>
  <si>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</si>
  <si>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</si>
  <si>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</si>
  <si>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</si>
  <si>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</si>
  <si>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</si>
  <si>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</si>
  <si>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</si>
  <si>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</si>
  <si>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</si>
  <si>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</si>
  <si>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</si>
  <si>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</si>
  <si>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</si>
  <si>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</si>
  <si>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</si>
  <si>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</si>
  <si>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</si>
  <si>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</si>
  <si>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</si>
  <si>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</si>
  <si>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</si>
  <si>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</si>
  <si>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</si>
  <si>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</si>
  <si>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</si>
  <si>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</si>
  <si>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</si>
  <si>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</si>
  <si>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</si>
  <si>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</si>
  <si>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</si>
  <si>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</si>
  <si>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</si>
  <si>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</si>
  <si>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</si>
  <si>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</si>
  <si>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</si>
  <si>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</si>
  <si>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</si>
  <si>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</si>
  <si>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</si>
  <si>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</si>
  <si>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</si>
  <si>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</si>
  <si>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</si>
  <si>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</si>
  <si>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</si>
  <si>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</si>
  <si>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</si>
  <si>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</si>
  <si>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</si>
  <si>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</si>
  <si>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</si>
  <si>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</si>
  <si>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</si>
  <si>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</si>
  <si>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</si>
  <si>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</si>
  <si>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</si>
  <si>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</si>
  <si>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</si>
  <si>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</si>
  <si>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</si>
  <si>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</si>
  <si>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</si>
  <si>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</si>
  <si>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</si>
  <si>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</si>
  <si>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</si>
  <si>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</si>
  <si>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</si>
  <si>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</si>
  <si>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</si>
  <si>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</si>
  <si>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</si>
  <si>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</si>
  <si>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</si>
  <si>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</si>
  <si>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</si>
  <si>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</si>
  <si>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</si>
  <si>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</si>
  <si>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</si>
  <si>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</si>
  <si>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</si>
  <si>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</si>
  <si>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</si>
  <si>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</si>
  <si>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</si>
  <si>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</si>
  <si>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</si>
  <si>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</si>
  <si>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</si>
  <si>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</si>
  <si>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</si>
  <si>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</si>
  <si>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</si>
  <si>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</si>
  <si>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</si>
  <si>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</si>
  <si>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</si>
  <si>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</si>
  <si>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</si>
  <si>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</si>
  <si>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</si>
  <si>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</si>
  <si>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</si>
  <si>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</si>
  <si>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</si>
  <si>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</si>
  <si>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</si>
  <si>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</si>
  <si>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</si>
  <si>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</si>
  <si>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</si>
  <si>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</si>
  <si>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</si>
  <si>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</si>
  <si>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</si>
  <si>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</si>
  <si>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</si>
  <si>
    <t>Top 3 Signups</t>
  </si>
  <si>
    <t>Top 3 Sales</t>
  </si>
  <si>
    <t>Rank 1 with LARGE</t>
  </si>
  <si>
    <t>Rank 2 with LARGE</t>
  </si>
  <si>
    <t>Rank 11 with LARGE</t>
  </si>
  <si>
    <t>Rank 11 with SMALL</t>
  </si>
  <si>
    <t>Maximum with MAX</t>
  </si>
  <si>
    <t>Key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</si>
</sst>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7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4" fillId="32" borderId="0" applyNumberFormat="0" applyBorder="0" applyAlignment="0" applyProtection="0"/>
    <xf numFmtId="44" fontId="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74">
    <xf numFmtId="0" fontId="0" fillId="0" borderId="0" xfId="0"/>
    <xf numFmtId="0" fontId="25" fillId="33" borderId="0" xfId="0" applyFont="1" applyFill="1"/>
    <xf numFmtId="165" fontId="25" fillId="33" borderId="0" xfId="0" applyNumberFormat="1" applyFont="1" applyFill="1"/>
    <xf numFmtId="0" fontId="26" fillId="0" borderId="0" xfId="0" applyFont="1"/>
    <xf numFmtId="165" fontId="26" fillId="0" borderId="0" xfId="0" applyNumberFormat="1" applyFont="1"/>
    <xf numFmtId="3" fontId="26" fillId="0" borderId="0" xfId="0" applyNumberFormat="1" applyFont="1"/>
    <xf numFmtId="0" fontId="7" fillId="0" borderId="0" xfId="0" applyFont="1"/>
    <xf numFmtId="164" fontId="7" fillId="0" borderId="0" xfId="42" applyNumberFormat="1" applyFont="1"/>
    <xf numFmtId="164" fontId="25" fillId="33" borderId="0" xfId="42" applyNumberFormat="1" applyFont="1" applyFill="1" applyAlignment="1">
      <alignment horizontal="right"/>
    </xf>
    <xf numFmtId="164" fontId="26" fillId="0" borderId="0" xfId="42" applyNumberFormat="1" applyFont="1"/>
    <xf numFmtId="164" fontId="7" fillId="0" borderId="0" xfId="0" applyNumberFormat="1" applyFont="1"/>
    <xf numFmtId="0" fontId="6" fillId="0" borderId="0" xfId="0" applyFont="1"/>
    <xf numFmtId="0" fontId="25" fillId="36" borderId="0" xfId="0" applyFont="1" applyFill="1"/>
    <xf numFmtId="166" fontId="6" fillId="0" borderId="0" xfId="47" applyNumberFormat="1" applyFont="1"/>
    <xf numFmtId="0" fontId="25" fillId="36" borderId="0" xfId="0" applyFont="1" applyFill="1" applyAlignment="1">
      <alignment horizontal="right"/>
    </xf>
    <xf numFmtId="166" fontId="6" fillId="37" borderId="0" xfId="47" applyNumberFormat="1" applyFont="1" applyFill="1"/>
    <xf numFmtId="0" fontId="29" fillId="0" borderId="0" xfId="0" applyFont="1"/>
    <xf numFmtId="0" fontId="25" fillId="38" borderId="0" xfId="0" applyFont="1" applyFill="1" applyAlignment="1">
      <alignment horizontal="left"/>
    </xf>
    <xf numFmtId="0" fontId="25" fillId="38" borderId="0" xfId="0" applyFont="1" applyFill="1" applyAlignment="1">
      <alignment horizontal="right"/>
    </xf>
    <xf numFmtId="166" fontId="6" fillId="34" borderId="0" xfId="47" applyNumberFormat="1" applyFont="1" applyFill="1"/>
    <xf numFmtId="166" fontId="6" fillId="35" borderId="0" xfId="47" applyNumberFormat="1" applyFont="1" applyFill="1"/>
    <xf numFmtId="9" fontId="6" fillId="35" borderId="0" xfId="48" applyFont="1" applyFill="1"/>
    <xf numFmtId="44" fontId="25" fillId="39" borderId="0" xfId="0" applyNumberFormat="1" applyFont="1" applyFill="1" applyAlignment="1">
      <alignment horizontal="right"/>
    </xf>
    <xf numFmtId="44" fontId="25" fillId="39" borderId="0" xfId="0" applyNumberFormat="1" applyFont="1" applyFill="1" applyAlignment="1">
      <alignment horizontal="left"/>
    </xf>
    <xf numFmtId="164" fontId="25" fillId="39" borderId="0" xfId="0" applyNumberFormat="1" applyFont="1" applyFill="1" applyAlignment="1"/>
    <xf numFmtId="164" fontId="7" fillId="0" borderId="0" xfId="0" applyNumberFormat="1" applyFont="1" applyAlignment="1"/>
    <xf numFmtId="164" fontId="25" fillId="39" borderId="0" xfId="0" applyNumberFormat="1" applyFont="1" applyFill="1" applyAlignment="1">
      <alignment horizontal="right"/>
    </xf>
    <xf numFmtId="0" fontId="25" fillId="40" borderId="0" xfId="0" applyFont="1" applyFill="1" applyAlignment="1">
      <alignment horizontal="right"/>
    </xf>
    <xf numFmtId="0" fontId="25" fillId="40" borderId="0" xfId="0" applyFont="1" applyFill="1"/>
    <xf numFmtId="166" fontId="30" fillId="0" borderId="0" xfId="47" applyNumberFormat="1" applyFont="1" applyFill="1"/>
    <xf numFmtId="0" fontId="30" fillId="40" borderId="0" xfId="0" applyFont="1" applyFill="1"/>
    <xf numFmtId="167" fontId="30" fillId="0" borderId="0" xfId="47" applyNumberFormat="1" applyFont="1" applyFill="1"/>
    <xf numFmtId="0" fontId="25" fillId="33" borderId="0" xfId="0" applyFont="1" applyFill="1" applyAlignment="1">
      <alignment horizontal="left"/>
    </xf>
    <xf numFmtId="2" fontId="25" fillId="33" borderId="0" xfId="0" applyNumberFormat="1" applyFont="1" applyFill="1" applyAlignment="1">
      <alignment horizontal="left"/>
    </xf>
    <xf numFmtId="0" fontId="32" fillId="40" borderId="0" xfId="0" applyFont="1" applyFill="1"/>
    <xf numFmtId="0" fontId="31" fillId="41" borderId="10" xfId="0" applyFont="1" applyFill="1" applyBorder="1"/>
    <xf numFmtId="0" fontId="5" fillId="0" borderId="0" xfId="0" applyFont="1"/>
    <xf numFmtId="0" fontId="25" fillId="38" borderId="0" xfId="0" applyFont="1" applyFill="1"/>
    <xf numFmtId="0" fontId="33" fillId="0" borderId="0" xfId="0" applyFont="1"/>
    <xf numFmtId="0" fontId="29" fillId="40" borderId="0" xfId="0" applyFont="1" applyFill="1"/>
    <xf numFmtId="0" fontId="4" fillId="0" borderId="0" xfId="0" applyFont="1"/>
    <xf numFmtId="0" fontId="34" fillId="42" borderId="0" xfId="0" applyFont="1" applyFill="1"/>
    <xf numFmtId="0" fontId="29" fillId="40" borderId="0" xfId="0" applyFont="1" applyFill="1" applyAlignment="1">
      <alignment horizontal="right"/>
    </xf>
    <xf numFmtId="0" fontId="3" fillId="40" borderId="0" xfId="0" applyFont="1" applyFill="1"/>
    <xf numFmtId="164" fontId="30" fillId="0" borderId="0" xfId="47" applyNumberFormat="1" applyFont="1" applyFill="1"/>
    <xf numFmtId="0" fontId="3" fillId="0" borderId="0" xfId="0" applyFont="1"/>
    <xf numFmtId="0" fontId="3" fillId="0" borderId="10" xfId="0" applyFont="1" applyFill="1" applyBorder="1"/>
    <xf numFmtId="0" fontId="3" fillId="0" borderId="0" xfId="0" applyFont="1" applyFill="1"/>
    <xf numFmtId="167" fontId="7" fillId="0" borderId="0" xfId="42" applyNumberFormat="1" applyFont="1" applyFill="1"/>
    <xf numFmtId="164" fontId="7" fillId="0" borderId="0" xfId="0" applyNumberFormat="1" applyFont="1" applyFill="1"/>
    <xf numFmtId="164" fontId="7" fillId="0" borderId="0" xfId="0" applyNumberFormat="1" applyFont="1" applyFill="1" applyAlignment="1"/>
    <xf numFmtId="0" fontId="25" fillId="39" borderId="0" xfId="0" applyFont="1" applyFill="1"/>
    <xf numFmtId="167" fontId="26" fillId="0" borderId="0" xfId="0" applyNumberFormat="1" applyFont="1" applyFill="1"/>
    <xf numFmtId="0" fontId="0" fillId="40" borderId="0" xfId="0" applyFill="1"/>
    <xf numFmtId="167" fontId="0" fillId="0" borderId="0" xfId="0" applyNumberFormat="1"/>
    <xf numFmtId="0" fontId="25" fillId="33" borderId="0" xfId="0" applyFont="1" applyFill="1" applyBorder="1" applyAlignment="1">
      <alignment horizontal="right"/>
    </xf>
    <xf numFmtId="0" fontId="25" fillId="33" borderId="11" xfId="0" applyFont="1" applyFill="1" applyBorder="1"/>
    <xf numFmtId="0" fontId="25" fillId="33" borderId="12" xfId="0" applyFont="1" applyFill="1" applyBorder="1" applyAlignment="1">
      <alignment horizontal="right"/>
    </xf>
    <xf numFmtId="0" fontId="7" fillId="0" borderId="13" xfId="0" applyFont="1" applyBorder="1"/>
    <xf numFmtId="0" fontId="25" fillId="33" borderId="14" xfId="0" applyFont="1" applyFill="1" applyBorder="1"/>
    <xf numFmtId="0" fontId="7" fillId="0" borderId="15" xfId="0" applyFont="1" applyBorder="1"/>
    <xf numFmtId="0" fontId="25" fillId="33" borderId="16" xfId="0" applyFont="1" applyFill="1" applyBorder="1"/>
    <xf numFmtId="0" fontId="25" fillId="33" borderId="17" xfId="0" applyFont="1" applyFill="1" applyBorder="1" applyAlignment="1">
      <alignment horizontal="right"/>
    </xf>
    <xf numFmtId="0" fontId="7" fillId="0" borderId="18" xfId="0" applyFont="1" applyBorder="1"/>
    <xf numFmtId="0" fontId="2" fillId="40" borderId="0" xfId="0" applyFont="1" applyFill="1"/>
    <xf numFmtId="0" fontId="3" fillId="34" borderId="0" xfId="0" applyFont="1" applyFill="1"/>
    <xf numFmtId="166" fontId="3" fillId="0" borderId="0" xfId="47" applyNumberFormat="1" applyFont="1" applyFill="1"/>
    <xf numFmtId="0" fontId="3" fillId="35" borderId="0" xfId="0" applyFont="1" applyFill="1"/>
    <xf numFmtId="0" fontId="25" fillId="39" borderId="0" xfId="0" applyFont="1" applyFill="1" applyAlignment="1">
      <alignment horizontal="right"/>
    </xf>
    <xf numFmtId="167" fontId="3" fillId="0" borderId="0" xfId="42" applyNumberFormat="1" applyFont="1" applyFill="1"/>
    <xf numFmtId="2" fontId="25" fillId="33" borderId="0" xfId="0" applyNumberFormat="1" applyFont="1" applyFill="1" applyAlignment="1">
      <alignment horizontal="right"/>
    </xf>
    <xf numFmtId="0" fontId="1" fillId="0" borderId="0" xfId="0" applyFont="1"/>
    <xf numFmtId="0" fontId="1" fillId="37" borderId="0" xfId="0" applyFont="1" applyFill="1"/>
    <xf numFmtId="0" fontId="6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>
      <selection activeCell="E16" sqref="E16"/>
    </sheetView>
  </sheetViews>
  <sheetFormatPr baseColWidth="10" defaultRowHeight="16" x14ac:dyDescent="0.2"/>
  <cols>
    <col min="1" max="1" width="4.33203125" style="45" customWidth="1"/>
    <col min="2" max="2" width="5.6640625" style="45" customWidth="1"/>
    <col min="3" max="3" width="15" style="45" customWidth="1"/>
    <col min="4" max="4" width="14.33203125" style="45" customWidth="1"/>
    <col min="5" max="5" width="23.33203125" style="45" customWidth="1"/>
    <col min="6" max="6" width="14.1640625" style="45" customWidth="1"/>
    <col min="7" max="7" width="5.83203125" style="45" customWidth="1"/>
    <col min="8" max="8" width="4.6640625" style="45" customWidth="1"/>
    <col min="9" max="9" width="5.6640625" style="45" customWidth="1"/>
    <col min="10" max="13" width="14.83203125" style="45" customWidth="1"/>
    <col min="14" max="14" width="5.83203125" style="45" customWidth="1"/>
    <col min="15" max="16384" width="10.83203125" style="45"/>
  </cols>
  <sheetData>
    <row r="1" spans="2:14" x14ac:dyDescent="0.2">
      <c r="B1" s="43"/>
      <c r="C1" s="43"/>
      <c r="D1" s="43"/>
      <c r="E1" s="43"/>
      <c r="F1" s="43"/>
      <c r="G1" s="43"/>
      <c r="I1" s="43"/>
      <c r="J1" s="43"/>
      <c r="K1" s="43"/>
      <c r="L1" s="43"/>
      <c r="M1" s="43"/>
      <c r="N1" s="43"/>
    </row>
    <row r="2" spans="2:14" x14ac:dyDescent="0.2">
      <c r="B2" s="28"/>
      <c r="C2" s="34" t="s">
        <v>409</v>
      </c>
      <c r="D2" s="43"/>
      <c r="E2" s="43"/>
      <c r="F2" s="43"/>
      <c r="G2" s="43"/>
      <c r="I2" s="28"/>
      <c r="J2" s="39" t="s">
        <v>413</v>
      </c>
      <c r="K2" s="43"/>
      <c r="L2" s="43"/>
      <c r="M2" s="43"/>
      <c r="N2" s="43"/>
    </row>
    <row r="3" spans="2:14" x14ac:dyDescent="0.2">
      <c r="B3" s="27"/>
      <c r="C3" s="35" t="s">
        <v>341</v>
      </c>
      <c r="D3" s="43"/>
      <c r="E3" s="29">
        <f>COUNTIF(CATEGORY,dashboard!$C$3)</f>
        <v>55</v>
      </c>
      <c r="F3" s="30" t="s">
        <v>410</v>
      </c>
      <c r="G3" s="43"/>
      <c r="I3" s="27"/>
      <c r="J3" s="41" t="s">
        <v>382</v>
      </c>
      <c r="K3" s="41" t="s">
        <v>0</v>
      </c>
      <c r="L3" s="41" t="s">
        <v>389</v>
      </c>
      <c r="M3" s="41" t="s">
        <v>406</v>
      </c>
      <c r="N3" s="43"/>
    </row>
    <row r="4" spans="2:14" x14ac:dyDescent="0.2">
      <c r="B4" s="43"/>
      <c r="C4" s="43"/>
      <c r="D4" s="43"/>
      <c r="E4" s="43"/>
      <c r="F4" s="43"/>
      <c r="G4" s="43"/>
      <c r="I4" s="43"/>
      <c r="J4" s="46"/>
      <c r="K4" s="46"/>
      <c r="L4" s="46"/>
      <c r="M4" s="46"/>
      <c r="N4" s="43"/>
    </row>
    <row r="5" spans="2:14" x14ac:dyDescent="0.2">
      <c r="B5" s="43"/>
      <c r="C5" s="32" t="s">
        <v>381</v>
      </c>
      <c r="D5" s="33" t="s">
        <v>399</v>
      </c>
      <c r="E5" s="70" t="s">
        <v>408</v>
      </c>
      <c r="F5" s="70" t="s">
        <v>389</v>
      </c>
      <c r="G5" s="43"/>
      <c r="I5" s="43"/>
      <c r="J5" s="43"/>
      <c r="K5" s="43"/>
      <c r="L5" s="43"/>
      <c r="M5" s="43"/>
      <c r="N5" s="43"/>
    </row>
    <row r="6" spans="2:14" x14ac:dyDescent="0.2">
      <c r="B6" s="43"/>
      <c r="C6" s="31">
        <f ca="1">SUMIF(CATEGORY,dashboard!$C$3,marketing_perf!H2:H381)</f>
        <v>2762.6600000000003</v>
      </c>
      <c r="D6" s="29">
        <f ca="1">SUMIF(CATEGORY,dashboard!$C$3,marketing_perf!E2:E381)</f>
        <v>2635</v>
      </c>
      <c r="E6" s="29">
        <f ca="1">SUMIF(CATEGORY,dashboard!$C$3,marketing_perf!F2:F381)</f>
        <v>69</v>
      </c>
      <c r="F6" s="31">
        <f ca="1">SUMIF(CATEGORY,dashboard!$C$3,marketing_perf!G2:G381)</f>
        <v>5465.6699999999992</v>
      </c>
      <c r="G6" s="43"/>
      <c r="I6" s="43"/>
      <c r="J6" s="47">
        <f>DCOUNTA(MARKETING_PERF,"Unique Key Phrases",J3:$M$4)</f>
        <v>380</v>
      </c>
      <c r="K6" s="43" t="s">
        <v>410</v>
      </c>
      <c r="L6" s="43"/>
      <c r="M6" s="43"/>
      <c r="N6" s="43"/>
    </row>
    <row r="7" spans="2:14" x14ac:dyDescent="0.2">
      <c r="B7" s="43"/>
      <c r="C7" s="43"/>
      <c r="D7" s="43"/>
      <c r="E7" s="43"/>
      <c r="F7" s="43"/>
      <c r="G7" s="43"/>
      <c r="I7" s="43"/>
      <c r="J7" s="43"/>
      <c r="K7" s="43"/>
      <c r="L7" s="43"/>
      <c r="M7" s="43"/>
      <c r="N7" s="43"/>
    </row>
    <row r="8" spans="2:14" x14ac:dyDescent="0.2">
      <c r="B8" s="43"/>
      <c r="C8" s="53"/>
      <c r="D8" s="53"/>
      <c r="E8" s="64" t="s">
        <v>420</v>
      </c>
      <c r="F8" s="43"/>
      <c r="G8" s="43"/>
      <c r="I8" s="43"/>
      <c r="J8" s="43"/>
      <c r="K8" s="43"/>
      <c r="L8" s="43"/>
      <c r="M8" s="43"/>
      <c r="N8" s="43"/>
    </row>
    <row r="9" spans="2:14" x14ac:dyDescent="0.2">
      <c r="B9" s="43"/>
      <c r="C9" s="53"/>
      <c r="D9" s="53"/>
      <c r="E9" s="51" t="s">
        <v>427</v>
      </c>
      <c r="F9" s="68" t="s">
        <v>399</v>
      </c>
      <c r="G9" s="43"/>
      <c r="I9" s="43"/>
      <c r="J9" s="32" t="s">
        <v>381</v>
      </c>
      <c r="K9" s="33" t="s">
        <v>399</v>
      </c>
      <c r="L9" s="33" t="s">
        <v>398</v>
      </c>
      <c r="M9" s="33" t="s">
        <v>389</v>
      </c>
      <c r="N9" s="43"/>
    </row>
    <row r="10" spans="2:14" x14ac:dyDescent="0.2">
      <c r="B10" s="43"/>
      <c r="C10" s="53"/>
      <c r="D10" s="53"/>
      <c r="E10" s="65" t="str">
        <f t="array" ref="E10">INDEX(UNIQUE_KEYPHRASES,MATCH(1,(SIGNUPS=F10)*(CATEGORY=$C$3),0))</f>
        <v>diaper bag</v>
      </c>
      <c r="F10" s="66">
        <f t="array" ref="F10">LARGE(IF(CATEGORY=$C$3,SIGNUPS,""),1)</f>
        <v>429</v>
      </c>
      <c r="G10" s="43"/>
      <c r="I10" s="43"/>
      <c r="J10" s="44">
        <f>DSUM(MARKETING_PERF,J9,J3:$M$4)</f>
        <v>31130.839999999967</v>
      </c>
      <c r="K10" s="29">
        <f>DSUM(MARKETING_PERF,K9,K3:$M$4)</f>
        <v>26443</v>
      </c>
      <c r="L10" s="29">
        <f>DSUM(MARKETING_PERF,L9,L3:$M$4)</f>
        <v>676</v>
      </c>
      <c r="M10" s="44">
        <f>DSUM(MARKETING_PERF,M9,M3:$M$4)</f>
        <v>52930.620000000017</v>
      </c>
      <c r="N10" s="43"/>
    </row>
    <row r="11" spans="2:14" x14ac:dyDescent="0.2">
      <c r="B11" s="43"/>
      <c r="C11" s="43"/>
      <c r="D11" s="43"/>
      <c r="E11" s="65" t="str">
        <f t="array" ref="E11">INDEX(UNIQUE_KEYPHRASES,MATCH(1,(SIGNUPS=F11)*(CATEGORY=$C$3),0))</f>
        <v>diaper bags</v>
      </c>
      <c r="F11" s="66">
        <f t="array" ref="F11">LARGE(IF(CATEGORY=$C$3,SIGNUPS,""),2)</f>
        <v>270</v>
      </c>
      <c r="G11" s="43"/>
      <c r="I11" s="43"/>
      <c r="J11" s="43"/>
      <c r="K11" s="43"/>
      <c r="L11" s="43"/>
      <c r="M11" s="43"/>
      <c r="N11" s="43"/>
    </row>
    <row r="12" spans="2:14" x14ac:dyDescent="0.2">
      <c r="B12" s="43"/>
      <c r="C12" s="43"/>
      <c r="D12" s="43"/>
      <c r="E12" s="65" t="str">
        <f t="array" ref="E12">INDEX(UNIQUE_KEYPHRASES,MATCH(1,(SIGNUPS=F12)*(CATEGORY=$C$3),0))</f>
        <v>baby clothing newborn</v>
      </c>
      <c r="F12" s="66">
        <f t="array" ref="F12">LARGE(IF(CATEGORY=$C$3,SIGNUPS,""),3)</f>
        <v>171</v>
      </c>
      <c r="G12" s="43"/>
      <c r="I12" s="43"/>
      <c r="J12" s="43"/>
      <c r="K12" s="43"/>
      <c r="L12" s="43"/>
      <c r="M12" s="43"/>
      <c r="N12" s="43"/>
    </row>
    <row r="13" spans="2:14" x14ac:dyDescent="0.2">
      <c r="B13" s="43"/>
      <c r="C13" s="43"/>
      <c r="D13" s="43"/>
      <c r="E13" s="43"/>
      <c r="F13" s="43"/>
      <c r="G13" s="43"/>
      <c r="I13" s="43"/>
      <c r="J13" s="43"/>
      <c r="K13" s="33" t="s">
        <v>404</v>
      </c>
      <c r="L13" s="33" t="s">
        <v>405</v>
      </c>
      <c r="M13" s="33" t="s">
        <v>389</v>
      </c>
      <c r="N13" s="43"/>
    </row>
    <row r="14" spans="2:14" x14ac:dyDescent="0.2">
      <c r="B14" s="43"/>
      <c r="C14" s="43"/>
      <c r="D14" s="43"/>
      <c r="E14" s="64" t="s">
        <v>421</v>
      </c>
      <c r="F14" s="43"/>
      <c r="G14" s="43"/>
      <c r="I14" s="43"/>
      <c r="J14" s="42" t="s">
        <v>418</v>
      </c>
      <c r="K14" s="52">
        <f>DMIN(MARKETING_PERF,K$13,$J$3:$M$4)</f>
        <v>0.10777777777777778</v>
      </c>
      <c r="L14" s="52">
        <f>DMAX(MARKETING_PERF,L$13,$J$3:$M$4)</f>
        <v>720</v>
      </c>
      <c r="M14" s="52">
        <f>DMAX(MARKETING_PERF,M$13,$J$3:$M$4)</f>
        <v>4846.3500000000004</v>
      </c>
      <c r="N14" s="43"/>
    </row>
    <row r="15" spans="2:14" x14ac:dyDescent="0.2">
      <c r="B15" s="43"/>
      <c r="C15" s="43"/>
      <c r="D15" s="43"/>
      <c r="E15" s="51" t="s">
        <v>427</v>
      </c>
      <c r="F15" s="68" t="s">
        <v>389</v>
      </c>
      <c r="G15" s="43"/>
      <c r="I15" s="43"/>
      <c r="J15" s="42" t="s">
        <v>419</v>
      </c>
      <c r="K15" s="52">
        <f>DMAX(MARKETING_PERF,$K$13,$J$3:$M$4)</f>
        <v>7.49</v>
      </c>
      <c r="L15" s="52">
        <f>DMIN(MARKETING_PERF,L$13,$J$3:$M$4)</f>
        <v>5.99</v>
      </c>
      <c r="M15" s="52">
        <f>DMIN(MARKETING_PERF,M$13,$J$3:$M$4)</f>
        <v>0</v>
      </c>
      <c r="N15" s="43"/>
    </row>
    <row r="16" spans="2:14" x14ac:dyDescent="0.2">
      <c r="B16" s="43"/>
      <c r="C16" s="43"/>
      <c r="D16" s="43"/>
      <c r="E16" s="67"/>
      <c r="F16" s="69">
        <f t="array" ref="F16">LARGE(IF(CATEGORY=$C$3,SALES,""),1)</f>
        <v>720</v>
      </c>
      <c r="G16" s="43"/>
      <c r="I16" s="43"/>
      <c r="J16" s="43"/>
      <c r="K16" s="43"/>
      <c r="L16" s="43"/>
      <c r="M16" s="43"/>
      <c r="N16" s="43"/>
    </row>
    <row r="17" spans="2:14" x14ac:dyDescent="0.2">
      <c r="B17" s="43"/>
      <c r="C17" s="43"/>
      <c r="D17" s="43"/>
      <c r="E17" s="67"/>
      <c r="F17" s="69">
        <f t="array" ref="F17">LARGE(IF(CATEGORY=$C$3,SALES,""),2)</f>
        <v>709.9</v>
      </c>
      <c r="G17" s="43"/>
      <c r="I17" s="43"/>
      <c r="J17" s="43"/>
      <c r="K17" s="43"/>
      <c r="L17" s="43"/>
      <c r="M17" s="43"/>
      <c r="N17" s="43"/>
    </row>
    <row r="18" spans="2:14" x14ac:dyDescent="0.2">
      <c r="B18" s="43"/>
      <c r="C18" s="43"/>
      <c r="D18" s="43"/>
      <c r="E18" s="67"/>
      <c r="F18" s="69">
        <f t="array" ref="F18">LARGE(IF(CATEGORY=$C$3,SALES,""),3)</f>
        <v>467.83</v>
      </c>
      <c r="G18" s="43"/>
      <c r="I18" s="43"/>
      <c r="J18" s="43"/>
      <c r="K18" s="43"/>
      <c r="L18" s="43"/>
      <c r="M18" s="43"/>
      <c r="N18" s="43"/>
    </row>
    <row r="19" spans="2:14" x14ac:dyDescent="0.2">
      <c r="B19" s="43"/>
      <c r="C19" s="43"/>
      <c r="D19" s="43"/>
      <c r="E19" s="43"/>
      <c r="F19" s="43"/>
      <c r="G19" s="43"/>
      <c r="I19" s="43"/>
      <c r="J19" s="43"/>
      <c r="K19" s="43"/>
      <c r="L19" s="43"/>
      <c r="M19" s="43"/>
      <c r="N19" s="43"/>
    </row>
    <row r="20" spans="2:14" x14ac:dyDescent="0.2">
      <c r="B20" s="43"/>
      <c r="C20" s="43"/>
      <c r="D20" s="43"/>
      <c r="E20" s="43"/>
      <c r="F20" s="43"/>
      <c r="G20" s="43"/>
      <c r="I20" s="43"/>
      <c r="J20" s="43"/>
      <c r="K20" s="43"/>
      <c r="L20" s="43"/>
      <c r="M20" s="43"/>
      <c r="N20" s="43"/>
    </row>
    <row r="21" spans="2:14" x14ac:dyDescent="0.2">
      <c r="B21" s="43"/>
      <c r="C21" s="43"/>
      <c r="D21" s="43"/>
      <c r="E21" s="43"/>
      <c r="F21" s="43"/>
      <c r="G21" s="43"/>
      <c r="I21" s="43"/>
      <c r="J21" s="43"/>
      <c r="K21" s="43"/>
      <c r="L21" s="43"/>
      <c r="M21" s="43"/>
      <c r="N21" s="43"/>
    </row>
    <row r="22" spans="2:14" x14ac:dyDescent="0.2">
      <c r="B22" s="43"/>
      <c r="C22" s="43"/>
      <c r="D22" s="43"/>
      <c r="E22" s="43"/>
      <c r="F22" s="43"/>
      <c r="G22" s="43"/>
      <c r="I22" s="43"/>
      <c r="J22" s="43"/>
      <c r="K22" s="43"/>
      <c r="L22" s="43"/>
      <c r="M22" s="43"/>
      <c r="N22" s="43"/>
    </row>
    <row r="23" spans="2:14" x14ac:dyDescent="0.2">
      <c r="B23" s="43"/>
      <c r="C23" s="43"/>
      <c r="D23" s="43"/>
      <c r="E23" s="43"/>
      <c r="F23" s="43"/>
      <c r="G23" s="43"/>
      <c r="I23" s="43"/>
      <c r="J23" s="43"/>
      <c r="K23" s="43"/>
      <c r="L23" s="43"/>
      <c r="M23" s="43"/>
      <c r="N23" s="43"/>
    </row>
    <row r="24" spans="2:14" x14ac:dyDescent="0.2">
      <c r="B24" s="43"/>
      <c r="C24" s="43"/>
      <c r="D24" s="43"/>
      <c r="E24" s="43"/>
      <c r="F24" s="43"/>
      <c r="G24" s="43"/>
      <c r="I24" s="43"/>
      <c r="J24" s="43"/>
      <c r="K24" s="43"/>
      <c r="L24" s="43"/>
      <c r="M24" s="43"/>
      <c r="N24" s="43"/>
    </row>
    <row r="25" spans="2:14" x14ac:dyDescent="0.2">
      <c r="I25" s="43"/>
      <c r="J25" s="43"/>
      <c r="K25" s="43"/>
      <c r="L25" s="43"/>
      <c r="M25" s="43"/>
      <c r="N25" s="43"/>
    </row>
    <row r="26" spans="2:14" x14ac:dyDescent="0.2">
      <c r="I26" s="43"/>
      <c r="J26" s="43"/>
      <c r="K26" s="43"/>
      <c r="L26" s="43"/>
      <c r="M26" s="43"/>
      <c r="N26" s="43"/>
    </row>
    <row r="27" spans="2:14" x14ac:dyDescent="0.2">
      <c r="I27" s="43"/>
      <c r="J27" s="43"/>
      <c r="K27" s="43"/>
      <c r="L27" s="43"/>
      <c r="M27" s="43"/>
      <c r="N27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misc!$A$2:$A$8</xm:f>
          </x14:formula1>
          <xm:sqref>C3 J4</xm:sqref>
        </x14:dataValidation>
        <x14:dataValidation type="list" allowBlank="1" showInputMessage="1" showErrorMessage="1">
          <x14:formula1>
            <xm:f>misc!$C$2:$C$6</xm:f>
          </x14:formula1>
          <xm:sqref>K4</xm:sqref>
        </x14:dataValidation>
        <x14:dataValidation type="list" allowBlank="1" showInputMessage="1" showErrorMessage="1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"/>
  <sheetViews>
    <sheetView zoomScale="130" zoomScaleNormal="130" workbookViewId="0">
      <pane ySplit="1" topLeftCell="A2" activePane="bottomLeft" state="frozen"/>
      <selection pane="bottomLeft" activeCell="O2" sqref="O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5" customWidth="1"/>
    <col min="13" max="13" width="3.33203125" style="71" customWidth="1"/>
    <col min="14" max="14" width="8.83203125" style="71" customWidth="1"/>
    <col min="15" max="15" width="5.83203125" style="71" customWidth="1"/>
    <col min="16" max="16384" width="10.83203125" style="6"/>
  </cols>
  <sheetData>
    <row r="1" spans="1:15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2" t="s">
        <v>404</v>
      </c>
      <c r="J1" s="23" t="s">
        <v>406</v>
      </c>
      <c r="K1" s="26" t="s">
        <v>405</v>
      </c>
      <c r="L1" s="24" t="s">
        <v>407</v>
      </c>
      <c r="N1" s="72"/>
      <c r="O1" s="72"/>
    </row>
    <row r="2" spans="1:15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48">
        <f>IF(E2&gt;0,H2/E2,"")</f>
        <v>2.0079166666666666</v>
      </c>
      <c r="J2" s="48" t="str">
        <f>IF(ISNUMBER(I2),IF(I2&lt;=0.5,"Low",IF(I2&lt;=1.5,"Medium","High")),"Untested")</f>
        <v>High</v>
      </c>
      <c r="K2" s="49">
        <f>IF(G2&gt;0,G2/F2,"")</f>
        <v>69.233571428571437</v>
      </c>
      <c r="L2" s="50" t="str">
        <f>IF(ISNUMBER(K2),IF(K2&lt;=75,"Low",IF(K2&lt;=200,"Medium","High")),"Untested")</f>
        <v>Low</v>
      </c>
      <c r="N2" s="72" t="str">
        <f>IF(AND(E2&gt;50,F2&gt;10,J2="High"),"true","false")</f>
        <v>true</v>
      </c>
      <c r="O2" s="72">
        <f>(E2&gt;50)*(F2&gt;10)*(J2="High")</f>
        <v>1</v>
      </c>
    </row>
    <row r="3" spans="1:15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48">
        <f t="shared" ref="I3:I66" si="0">IF(E3&gt;0,H3/E3,"")</f>
        <v>2.7907283142389527</v>
      </c>
      <c r="J3" s="48" t="str">
        <f t="shared" ref="J3:J66" si="1">IF(ISNUMBER(I3),IF(I3&lt;=0.5,"Low",IF(I3&lt;=1.5,"Medium","High")),"Untested")</f>
        <v>High</v>
      </c>
      <c r="K3" s="49">
        <f t="shared" ref="K3:K66" si="2">IF(G3&gt;0,G3/F3,"")</f>
        <v>67.735749999999996</v>
      </c>
      <c r="L3" s="50" t="str">
        <f t="shared" ref="L3:L66" si="3">IF(ISNUMBER(K3),IF(K3&lt;=75,"Low",IF(K3&lt;=200,"Medium","High")),"Untested")</f>
        <v>Low</v>
      </c>
      <c r="N3" s="72" t="str">
        <f t="shared" ref="N3:N18" si="4">IF(AND(E3&gt;50,F3&gt;10,J3="High"),"true","false")</f>
        <v>true</v>
      </c>
      <c r="O3" s="72">
        <f t="shared" ref="O3:O18" si="5">(E3&gt;50)*(F3&gt;10)*(J3="High")</f>
        <v>1</v>
      </c>
    </row>
    <row r="4" spans="1:15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48">
        <f t="shared" si="0"/>
        <v>0.51946341463414636</v>
      </c>
      <c r="J4" s="48" t="str">
        <f t="shared" si="1"/>
        <v>Medium</v>
      </c>
      <c r="K4" s="49">
        <f t="shared" si="2"/>
        <v>87.451111111111103</v>
      </c>
      <c r="L4" s="50" t="str">
        <f t="shared" si="3"/>
        <v>Medium</v>
      </c>
      <c r="N4" s="72" t="str">
        <f t="shared" si="4"/>
        <v>false</v>
      </c>
      <c r="O4" s="72">
        <f t="shared" si="5"/>
        <v>0</v>
      </c>
    </row>
    <row r="5" spans="1:15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48">
        <f t="shared" si="0"/>
        <v>1.1652074513124471</v>
      </c>
      <c r="J5" s="48" t="str">
        <f t="shared" si="1"/>
        <v>Medium</v>
      </c>
      <c r="K5" s="49">
        <f t="shared" si="2"/>
        <v>57.843333333333334</v>
      </c>
      <c r="L5" s="50" t="str">
        <f t="shared" si="3"/>
        <v>Low</v>
      </c>
      <c r="N5" s="72" t="str">
        <f t="shared" si="4"/>
        <v>false</v>
      </c>
      <c r="O5" s="72">
        <f t="shared" si="5"/>
        <v>0</v>
      </c>
    </row>
    <row r="6" spans="1:15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48">
        <f t="shared" si="0"/>
        <v>2.9004234527687296</v>
      </c>
      <c r="J6" s="48" t="str">
        <f t="shared" si="1"/>
        <v>High</v>
      </c>
      <c r="K6" s="49">
        <f t="shared" si="2"/>
        <v>80.88277777777779</v>
      </c>
      <c r="L6" s="50" t="str">
        <f t="shared" si="3"/>
        <v>Medium</v>
      </c>
      <c r="N6" s="72" t="str">
        <f t="shared" si="4"/>
        <v>true</v>
      </c>
      <c r="O6" s="72">
        <f t="shared" si="5"/>
        <v>1</v>
      </c>
    </row>
    <row r="7" spans="1:15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48">
        <f t="shared" si="0"/>
        <v>1.6258609271523179</v>
      </c>
      <c r="J7" s="48" t="str">
        <f t="shared" si="1"/>
        <v>High</v>
      </c>
      <c r="K7" s="49">
        <f t="shared" si="2"/>
        <v>98.569285714285712</v>
      </c>
      <c r="L7" s="50" t="str">
        <f t="shared" si="3"/>
        <v>Medium</v>
      </c>
      <c r="N7" s="72" t="str">
        <f t="shared" si="4"/>
        <v>true</v>
      </c>
      <c r="O7" s="72">
        <f t="shared" si="5"/>
        <v>1</v>
      </c>
    </row>
    <row r="8" spans="1:15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48">
        <f t="shared" si="0"/>
        <v>1.2092682926829268</v>
      </c>
      <c r="J8" s="48" t="str">
        <f t="shared" si="1"/>
        <v>Medium</v>
      </c>
      <c r="K8" s="49">
        <f t="shared" si="2"/>
        <v>239.92</v>
      </c>
      <c r="L8" s="50" t="str">
        <f t="shared" si="3"/>
        <v>High</v>
      </c>
      <c r="N8" s="72" t="str">
        <f t="shared" si="4"/>
        <v>false</v>
      </c>
      <c r="O8" s="72">
        <f t="shared" si="5"/>
        <v>0</v>
      </c>
    </row>
    <row r="9" spans="1:15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48">
        <f t="shared" si="0"/>
        <v>1.6212987012987012</v>
      </c>
      <c r="J9" s="48" t="str">
        <f t="shared" si="1"/>
        <v>High</v>
      </c>
      <c r="K9" s="49">
        <f t="shared" si="2"/>
        <v>106.47909090909091</v>
      </c>
      <c r="L9" s="50" t="str">
        <f t="shared" si="3"/>
        <v>Medium</v>
      </c>
      <c r="N9" s="72" t="str">
        <f t="shared" si="4"/>
        <v>true</v>
      </c>
      <c r="O9" s="72">
        <f t="shared" si="5"/>
        <v>1</v>
      </c>
    </row>
    <row r="10" spans="1:15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48">
        <f t="shared" si="0"/>
        <v>0.74475728155339804</v>
      </c>
      <c r="J10" s="48" t="str">
        <f t="shared" si="1"/>
        <v>Medium</v>
      </c>
      <c r="K10" s="49">
        <f t="shared" si="2"/>
        <v>66.023750000000007</v>
      </c>
      <c r="L10" s="50" t="str">
        <f t="shared" si="3"/>
        <v>Low</v>
      </c>
      <c r="N10" s="72" t="str">
        <f t="shared" si="4"/>
        <v>false</v>
      </c>
      <c r="O10" s="72">
        <f t="shared" si="5"/>
        <v>0</v>
      </c>
    </row>
    <row r="11" spans="1:15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48">
        <f t="shared" si="0"/>
        <v>1.4911538461538463</v>
      </c>
      <c r="J11" s="48" t="str">
        <f t="shared" si="1"/>
        <v>Medium</v>
      </c>
      <c r="K11" s="49">
        <f t="shared" si="2"/>
        <v>87.818181818181813</v>
      </c>
      <c r="L11" s="50" t="str">
        <f t="shared" si="3"/>
        <v>Medium</v>
      </c>
      <c r="N11" s="72" t="str">
        <f t="shared" si="4"/>
        <v>false</v>
      </c>
      <c r="O11" s="72">
        <f t="shared" si="5"/>
        <v>0</v>
      </c>
    </row>
    <row r="12" spans="1:15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48">
        <f t="shared" si="0"/>
        <v>0.49734848484848487</v>
      </c>
      <c r="J12" s="48" t="str">
        <f t="shared" si="1"/>
        <v>Low</v>
      </c>
      <c r="K12" s="49">
        <f t="shared" si="2"/>
        <v>218.75</v>
      </c>
      <c r="L12" s="50" t="str">
        <f t="shared" si="3"/>
        <v>High</v>
      </c>
      <c r="N12" s="72" t="str">
        <f t="shared" si="4"/>
        <v>false</v>
      </c>
      <c r="O12" s="72">
        <f t="shared" si="5"/>
        <v>0</v>
      </c>
    </row>
    <row r="13" spans="1:15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48">
        <f t="shared" si="0"/>
        <v>0.56216216216216208</v>
      </c>
      <c r="J13" s="48" t="str">
        <f t="shared" si="1"/>
        <v>Medium</v>
      </c>
      <c r="K13" s="49">
        <f t="shared" si="2"/>
        <v>164.4</v>
      </c>
      <c r="L13" s="50" t="str">
        <f t="shared" si="3"/>
        <v>Medium</v>
      </c>
      <c r="N13" s="72" t="str">
        <f t="shared" si="4"/>
        <v>false</v>
      </c>
      <c r="O13" s="72">
        <f t="shared" si="5"/>
        <v>0</v>
      </c>
    </row>
    <row r="14" spans="1:15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48">
        <f t="shared" si="0"/>
        <v>0.21817610062893081</v>
      </c>
      <c r="J14" s="48" t="str">
        <f t="shared" si="1"/>
        <v>Low</v>
      </c>
      <c r="K14" s="49">
        <f t="shared" si="2"/>
        <v>53.346000000000004</v>
      </c>
      <c r="L14" s="50" t="str">
        <f t="shared" si="3"/>
        <v>Low</v>
      </c>
      <c r="N14" s="72" t="str">
        <f t="shared" si="4"/>
        <v>false</v>
      </c>
      <c r="O14" s="72">
        <f t="shared" si="5"/>
        <v>0</v>
      </c>
    </row>
    <row r="15" spans="1:15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48">
        <f t="shared" si="0"/>
        <v>1.0836363636363637</v>
      </c>
      <c r="J15" s="48" t="str">
        <f t="shared" si="1"/>
        <v>Medium</v>
      </c>
      <c r="K15" s="49">
        <f t="shared" si="2"/>
        <v>720</v>
      </c>
      <c r="L15" s="50" t="str">
        <f t="shared" si="3"/>
        <v>High</v>
      </c>
      <c r="N15" s="72" t="str">
        <f t="shared" si="4"/>
        <v>false</v>
      </c>
      <c r="O15" s="72">
        <f t="shared" si="5"/>
        <v>0</v>
      </c>
    </row>
    <row r="16" spans="1:15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48">
        <f t="shared" si="0"/>
        <v>1.3195424836601306</v>
      </c>
      <c r="J16" s="48" t="str">
        <f t="shared" si="1"/>
        <v>Medium</v>
      </c>
      <c r="K16" s="49">
        <f t="shared" si="2"/>
        <v>79.734444444444449</v>
      </c>
      <c r="L16" s="50" t="str">
        <f t="shared" si="3"/>
        <v>Medium</v>
      </c>
      <c r="N16" s="72" t="str">
        <f t="shared" si="4"/>
        <v>false</v>
      </c>
      <c r="O16" s="72">
        <f t="shared" si="5"/>
        <v>0</v>
      </c>
    </row>
    <row r="17" spans="1:15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48">
        <f t="shared" si="0"/>
        <v>1.5659673659673659</v>
      </c>
      <c r="J17" s="48" t="str">
        <f t="shared" si="1"/>
        <v>High</v>
      </c>
      <c r="K17" s="49">
        <f t="shared" si="2"/>
        <v>88.737499999999997</v>
      </c>
      <c r="L17" s="50" t="str">
        <f t="shared" si="3"/>
        <v>Medium</v>
      </c>
      <c r="N17" s="72" t="str">
        <f t="shared" si="4"/>
        <v>false</v>
      </c>
      <c r="O17" s="72">
        <f t="shared" si="5"/>
        <v>0</v>
      </c>
    </row>
    <row r="18" spans="1:15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48">
        <f t="shared" si="0"/>
        <v>1.6772463768115942</v>
      </c>
      <c r="J18" s="48" t="str">
        <f t="shared" si="1"/>
        <v>High</v>
      </c>
      <c r="K18" s="49">
        <f t="shared" si="2"/>
        <v>236.49666666666667</v>
      </c>
      <c r="L18" s="50" t="str">
        <f t="shared" si="3"/>
        <v>High</v>
      </c>
      <c r="N18" s="72" t="str">
        <f t="shared" si="4"/>
        <v>false</v>
      </c>
      <c r="O18" s="72">
        <f t="shared" si="5"/>
        <v>0</v>
      </c>
    </row>
    <row r="19" spans="1:15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48">
        <f t="shared" si="0"/>
        <v>1.5891666666666666</v>
      </c>
      <c r="J19" s="48" t="str">
        <f t="shared" si="1"/>
        <v>High</v>
      </c>
      <c r="K19" s="49">
        <f t="shared" si="2"/>
        <v>87.185000000000002</v>
      </c>
      <c r="L19" s="50" t="str">
        <f t="shared" si="3"/>
        <v>Medium</v>
      </c>
    </row>
    <row r="20" spans="1:15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48">
        <f t="shared" si="0"/>
        <v>1.27328</v>
      </c>
      <c r="J20" s="48" t="str">
        <f t="shared" si="1"/>
        <v>Medium</v>
      </c>
      <c r="K20" s="49">
        <f t="shared" si="2"/>
        <v>105.33333333333333</v>
      </c>
      <c r="L20" s="50" t="str">
        <f t="shared" si="3"/>
        <v>Medium</v>
      </c>
    </row>
    <row r="21" spans="1:15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48">
        <f t="shared" si="0"/>
        <v>0.29788535031847135</v>
      </c>
      <c r="J21" s="48" t="str">
        <f t="shared" si="1"/>
        <v>Low</v>
      </c>
      <c r="K21" s="49">
        <f t="shared" si="2"/>
        <v>59.160000000000004</v>
      </c>
      <c r="L21" s="50" t="str">
        <f t="shared" si="3"/>
        <v>Low</v>
      </c>
    </row>
    <row r="22" spans="1:15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48">
        <f t="shared" si="0"/>
        <v>0.39999999999999997</v>
      </c>
      <c r="J22" s="48" t="str">
        <f t="shared" si="1"/>
        <v>Low</v>
      </c>
      <c r="K22" s="49">
        <f t="shared" si="2"/>
        <v>243.5</v>
      </c>
      <c r="L22" s="50" t="str">
        <f t="shared" si="3"/>
        <v>High</v>
      </c>
    </row>
    <row r="23" spans="1:15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48">
        <f t="shared" si="0"/>
        <v>1.0304424778761061</v>
      </c>
      <c r="J23" s="48" t="str">
        <f t="shared" si="1"/>
        <v>Medium</v>
      </c>
      <c r="K23" s="49">
        <f t="shared" si="2"/>
        <v>121</v>
      </c>
      <c r="L23" s="50" t="str">
        <f t="shared" si="3"/>
        <v>Medium</v>
      </c>
    </row>
    <row r="24" spans="1:15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48">
        <f t="shared" si="0"/>
        <v>0.77710843373493976</v>
      </c>
      <c r="J24" s="48" t="str">
        <f t="shared" si="1"/>
        <v>Medium</v>
      </c>
      <c r="K24" s="49">
        <f t="shared" si="2"/>
        <v>241.35</v>
      </c>
      <c r="L24" s="50" t="str">
        <f t="shared" si="3"/>
        <v>High</v>
      </c>
    </row>
    <row r="25" spans="1:15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48">
        <f t="shared" si="0"/>
        <v>0.68214285714285716</v>
      </c>
      <c r="J25" s="48" t="str">
        <f t="shared" si="1"/>
        <v>Medium</v>
      </c>
      <c r="K25" s="49">
        <f t="shared" si="2"/>
        <v>117.64749999999999</v>
      </c>
      <c r="L25" s="50" t="str">
        <f t="shared" si="3"/>
        <v>Medium</v>
      </c>
    </row>
    <row r="26" spans="1:15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48">
        <f t="shared" si="0"/>
        <v>1.0932962962962962</v>
      </c>
      <c r="J26" s="48" t="str">
        <f t="shared" si="1"/>
        <v>Medium</v>
      </c>
      <c r="K26" s="49">
        <f t="shared" si="2"/>
        <v>77.971666666666664</v>
      </c>
      <c r="L26" s="50" t="str">
        <f t="shared" si="3"/>
        <v>Medium</v>
      </c>
    </row>
    <row r="27" spans="1:15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48">
        <f t="shared" si="0"/>
        <v>1.756470588235294</v>
      </c>
      <c r="J27" s="48" t="str">
        <f t="shared" si="1"/>
        <v>High</v>
      </c>
      <c r="K27" s="49">
        <f t="shared" si="2"/>
        <v>229</v>
      </c>
      <c r="L27" s="50" t="str">
        <f t="shared" si="3"/>
        <v>High</v>
      </c>
    </row>
    <row r="28" spans="1:15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48">
        <f t="shared" si="0"/>
        <v>1.7771428571428571</v>
      </c>
      <c r="J28" s="48" t="str">
        <f t="shared" si="1"/>
        <v>High</v>
      </c>
      <c r="K28" s="49">
        <f t="shared" si="2"/>
        <v>217.5</v>
      </c>
      <c r="L28" s="50" t="str">
        <f t="shared" si="3"/>
        <v>High</v>
      </c>
    </row>
    <row r="29" spans="1:15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48">
        <f t="shared" si="0"/>
        <v>0.53048979591836731</v>
      </c>
      <c r="J29" s="48" t="str">
        <f t="shared" si="1"/>
        <v>Medium</v>
      </c>
      <c r="K29" s="49">
        <f t="shared" si="2"/>
        <v>85</v>
      </c>
      <c r="L29" s="50" t="str">
        <f t="shared" si="3"/>
        <v>Medium</v>
      </c>
    </row>
    <row r="30" spans="1:15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48">
        <f t="shared" si="0"/>
        <v>1.3137254901960784</v>
      </c>
      <c r="J30" s="48" t="str">
        <f t="shared" si="1"/>
        <v>Medium</v>
      </c>
      <c r="K30" s="49">
        <f t="shared" si="2"/>
        <v>137.66666666666666</v>
      </c>
      <c r="L30" s="50" t="str">
        <f t="shared" si="3"/>
        <v>Medium</v>
      </c>
    </row>
    <row r="31" spans="1:15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48">
        <f t="shared" si="0"/>
        <v>0.4338721804511278</v>
      </c>
      <c r="J31" s="48" t="str">
        <f t="shared" si="1"/>
        <v>Low</v>
      </c>
      <c r="K31" s="49">
        <f t="shared" si="2"/>
        <v>64.583333333333329</v>
      </c>
      <c r="L31" s="50" t="str">
        <f t="shared" si="3"/>
        <v>Low</v>
      </c>
    </row>
    <row r="32" spans="1:15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48">
        <f t="shared" si="0"/>
        <v>0.63879746835443041</v>
      </c>
      <c r="J32" s="48" t="str">
        <f t="shared" si="1"/>
        <v>Medium</v>
      </c>
      <c r="K32" s="49">
        <f t="shared" si="2"/>
        <v>96.732500000000002</v>
      </c>
      <c r="L32" s="50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48">
        <f t="shared" si="0"/>
        <v>0.18224390243902439</v>
      </c>
      <c r="J33" s="48" t="str">
        <f t="shared" si="1"/>
        <v>Low</v>
      </c>
      <c r="K33" s="49">
        <f t="shared" si="2"/>
        <v>127.99666666666667</v>
      </c>
      <c r="L33" s="50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48">
        <f t="shared" si="0"/>
        <v>0.51047619047619053</v>
      </c>
      <c r="J34" s="48" t="str">
        <f t="shared" si="1"/>
        <v>Medium</v>
      </c>
      <c r="K34" s="49">
        <f t="shared" si="2"/>
        <v>94.49</v>
      </c>
      <c r="L34" s="50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48">
        <f t="shared" si="0"/>
        <v>0.73456140350877186</v>
      </c>
      <c r="J35" s="48" t="str">
        <f t="shared" si="1"/>
        <v>Medium</v>
      </c>
      <c r="K35" s="49">
        <f t="shared" si="2"/>
        <v>62.5</v>
      </c>
      <c r="L35" s="50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48">
        <f t="shared" si="0"/>
        <v>0.54116279069767437</v>
      </c>
      <c r="J36" s="48" t="str">
        <f t="shared" si="1"/>
        <v>Medium</v>
      </c>
      <c r="K36" s="49">
        <f t="shared" si="2"/>
        <v>92.5</v>
      </c>
      <c r="L36" s="50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48">
        <f t="shared" si="0"/>
        <v>0.13057142857142859</v>
      </c>
      <c r="J37" s="48" t="str">
        <f t="shared" si="1"/>
        <v>Low</v>
      </c>
      <c r="K37" s="49">
        <f t="shared" si="2"/>
        <v>183.5</v>
      </c>
      <c r="L37" s="50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48">
        <f t="shared" si="0"/>
        <v>1.2337037037037037</v>
      </c>
      <c r="J38" s="48" t="str">
        <f t="shared" si="1"/>
        <v>Medium</v>
      </c>
      <c r="K38" s="49">
        <f t="shared" si="2"/>
        <v>60.15</v>
      </c>
      <c r="L38" s="50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48">
        <f t="shared" si="0"/>
        <v>0.30572769953051643</v>
      </c>
      <c r="J39" s="48" t="str">
        <f t="shared" si="1"/>
        <v>Low</v>
      </c>
      <c r="K39" s="49">
        <f t="shared" si="2"/>
        <v>58.24666666666667</v>
      </c>
      <c r="L39" s="50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48">
        <f t="shared" si="0"/>
        <v>1.3844444444444446</v>
      </c>
      <c r="J40" s="48" t="str">
        <f t="shared" si="1"/>
        <v>Medium</v>
      </c>
      <c r="K40" s="49">
        <f t="shared" si="2"/>
        <v>349</v>
      </c>
      <c r="L40" s="50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48">
        <f t="shared" si="0"/>
        <v>4.1462886597938144</v>
      </c>
      <c r="J41" s="48" t="str">
        <f t="shared" si="1"/>
        <v>High</v>
      </c>
      <c r="K41" s="49">
        <f t="shared" si="2"/>
        <v>48.042857142857144</v>
      </c>
      <c r="L41" s="50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48">
        <f t="shared" si="0"/>
        <v>0.38302405498281783</v>
      </c>
      <c r="J42" s="48" t="str">
        <f t="shared" si="1"/>
        <v>Low</v>
      </c>
      <c r="K42" s="49">
        <f t="shared" si="2"/>
        <v>166.75</v>
      </c>
      <c r="L42" s="50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48">
        <f t="shared" si="0"/>
        <v>1.5932203389830508</v>
      </c>
      <c r="J43" s="48" t="str">
        <f t="shared" si="1"/>
        <v>High</v>
      </c>
      <c r="K43" s="49">
        <f t="shared" si="2"/>
        <v>40.712499999999999</v>
      </c>
      <c r="L43" s="50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48">
        <f t="shared" si="0"/>
        <v>0.52521739130434786</v>
      </c>
      <c r="J44" s="48" t="str">
        <f t="shared" si="1"/>
        <v>Medium</v>
      </c>
      <c r="K44" s="49">
        <f t="shared" si="2"/>
        <v>78.25</v>
      </c>
      <c r="L44" s="50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48">
        <f t="shared" si="0"/>
        <v>2.2198901098901098</v>
      </c>
      <c r="J45" s="48" t="str">
        <f t="shared" si="1"/>
        <v>High</v>
      </c>
      <c r="K45" s="49">
        <f t="shared" si="2"/>
        <v>76.872500000000002</v>
      </c>
      <c r="L45" s="50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48">
        <f t="shared" si="0"/>
        <v>0.29963636363636365</v>
      </c>
      <c r="J46" s="48" t="str">
        <f t="shared" si="1"/>
        <v>Low</v>
      </c>
      <c r="K46" s="49">
        <f t="shared" si="2"/>
        <v>149.495</v>
      </c>
      <c r="L46" s="50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48">
        <f t="shared" si="0"/>
        <v>0.59220338983050846</v>
      </c>
      <c r="J47" s="48" t="str">
        <f t="shared" si="1"/>
        <v>Medium</v>
      </c>
      <c r="K47" s="49">
        <f t="shared" si="2"/>
        <v>73.547499999999999</v>
      </c>
      <c r="L47" s="50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48">
        <f t="shared" si="0"/>
        <v>0.79051724137931034</v>
      </c>
      <c r="J48" s="48" t="str">
        <f t="shared" si="1"/>
        <v>Medium</v>
      </c>
      <c r="K48" s="49">
        <f t="shared" si="2"/>
        <v>92.333333333333329</v>
      </c>
      <c r="L48" s="50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48">
        <f t="shared" si="0"/>
        <v>2.8496000000000001</v>
      </c>
      <c r="J49" s="48" t="str">
        <f t="shared" si="1"/>
        <v>High</v>
      </c>
      <c r="K49" s="49">
        <f t="shared" si="2"/>
        <v>53.6</v>
      </c>
      <c r="L49" s="50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48">
        <f t="shared" si="0"/>
        <v>1.2811538461538463</v>
      </c>
      <c r="J50" s="48" t="str">
        <f t="shared" si="1"/>
        <v>Medium</v>
      </c>
      <c r="K50" s="49">
        <f t="shared" si="2"/>
        <v>66.75</v>
      </c>
      <c r="L50" s="50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48">
        <f t="shared" si="0"/>
        <v>0.6415384615384615</v>
      </c>
      <c r="J51" s="48" t="str">
        <f t="shared" si="1"/>
        <v>Medium</v>
      </c>
      <c r="K51" s="49">
        <f t="shared" si="2"/>
        <v>262.5</v>
      </c>
      <c r="L51" s="50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48">
        <f t="shared" si="0"/>
        <v>1.7350000000000001</v>
      </c>
      <c r="J52" s="48" t="str">
        <f t="shared" si="1"/>
        <v>High</v>
      </c>
      <c r="K52" s="49">
        <f t="shared" si="2"/>
        <v>262</v>
      </c>
      <c r="L52" s="50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48">
        <f t="shared" si="0"/>
        <v>0.84971631205673759</v>
      </c>
      <c r="J53" s="48" t="str">
        <f t="shared" si="1"/>
        <v>Medium</v>
      </c>
      <c r="K53" s="49">
        <f t="shared" si="2"/>
        <v>65.424999999999997</v>
      </c>
      <c r="L53" s="50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48">
        <f t="shared" si="0"/>
        <v>0.59907692307692306</v>
      </c>
      <c r="J54" s="48" t="str">
        <f t="shared" si="1"/>
        <v>Medium</v>
      </c>
      <c r="K54" s="49">
        <f t="shared" si="2"/>
        <v>260.91000000000003</v>
      </c>
      <c r="L54" s="50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48">
        <f t="shared" si="0"/>
        <v>1.7384615384615385</v>
      </c>
      <c r="J55" s="48" t="str">
        <f t="shared" si="1"/>
        <v>High</v>
      </c>
      <c r="K55" s="49">
        <f t="shared" si="2"/>
        <v>260</v>
      </c>
      <c r="L55" s="50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48">
        <f t="shared" si="0"/>
        <v>2.0724999999999998</v>
      </c>
      <c r="J56" s="48" t="str">
        <f t="shared" si="1"/>
        <v>High</v>
      </c>
      <c r="K56" s="49">
        <f t="shared" si="2"/>
        <v>51.9</v>
      </c>
      <c r="L56" s="50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48">
        <f t="shared" si="0"/>
        <v>0.7273563218390805</v>
      </c>
      <c r="J57" s="48" t="str">
        <f t="shared" si="1"/>
        <v>Medium</v>
      </c>
      <c r="K57" s="49">
        <f t="shared" si="2"/>
        <v>259</v>
      </c>
      <c r="L57" s="50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48">
        <f t="shared" si="0"/>
        <v>1.0862400000000001</v>
      </c>
      <c r="J58" s="48" t="str">
        <f t="shared" si="1"/>
        <v>Medium</v>
      </c>
      <c r="K58" s="49">
        <f t="shared" si="2"/>
        <v>258</v>
      </c>
      <c r="L58" s="50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48">
        <f t="shared" si="0"/>
        <v>1.8728571428571428</v>
      </c>
      <c r="J59" s="48" t="str">
        <f t="shared" si="1"/>
        <v>High</v>
      </c>
      <c r="K59" s="49">
        <f t="shared" si="2"/>
        <v>250</v>
      </c>
      <c r="L59" s="50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48">
        <f t="shared" si="0"/>
        <v>0.56939759036144577</v>
      </c>
      <c r="J60" s="48" t="str">
        <f t="shared" si="1"/>
        <v>Medium</v>
      </c>
      <c r="K60" s="49">
        <f t="shared" si="2"/>
        <v>82.333333333333329</v>
      </c>
      <c r="L60" s="50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48">
        <f t="shared" si="0"/>
        <v>1.3332075471698113</v>
      </c>
      <c r="J61" s="48" t="str">
        <f t="shared" si="1"/>
        <v>Medium</v>
      </c>
      <c r="K61" s="49">
        <f t="shared" si="2"/>
        <v>80.833333333333329</v>
      </c>
      <c r="L61" s="50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48">
        <f t="shared" si="0"/>
        <v>1.7899999999999998</v>
      </c>
      <c r="J62" s="48" t="str">
        <f t="shared" si="1"/>
        <v>High</v>
      </c>
      <c r="K62" s="49">
        <f t="shared" si="2"/>
        <v>59.5</v>
      </c>
      <c r="L62" s="50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48">
        <f t="shared" si="0"/>
        <v>0.47692307692307695</v>
      </c>
      <c r="J63" s="48" t="str">
        <f t="shared" si="1"/>
        <v>Low</v>
      </c>
      <c r="K63" s="49">
        <f t="shared" si="2"/>
        <v>237</v>
      </c>
      <c r="L63" s="50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48">
        <f t="shared" si="0"/>
        <v>1.1082758620689654</v>
      </c>
      <c r="J64" s="48" t="str">
        <f t="shared" si="1"/>
        <v>Medium</v>
      </c>
      <c r="K64" s="49">
        <f t="shared" si="2"/>
        <v>114</v>
      </c>
      <c r="L64" s="50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48">
        <f t="shared" si="0"/>
        <v>0.61291139240506332</v>
      </c>
      <c r="J65" s="48" t="str">
        <f t="shared" si="1"/>
        <v>Medium</v>
      </c>
      <c r="K65" s="49">
        <f t="shared" si="2"/>
        <v>74.5</v>
      </c>
      <c r="L65" s="50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48">
        <f t="shared" si="0"/>
        <v>1.6998319327731093</v>
      </c>
      <c r="J66" s="48" t="str">
        <f t="shared" si="1"/>
        <v>High</v>
      </c>
      <c r="K66" s="49">
        <f t="shared" si="2"/>
        <v>36.718333333333334</v>
      </c>
      <c r="L66" s="50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48">
        <f t="shared" ref="I67:I130" si="6">IF(E67&gt;0,H67/E67,"")</f>
        <v>0.64037735849056598</v>
      </c>
      <c r="J67" s="48" t="str">
        <f t="shared" ref="J67:J130" si="7">IF(ISNUMBER(I67),IF(I67&lt;=0.5,"Low",IF(I67&lt;=1.5,"Medium","High")),"Untested")</f>
        <v>Medium</v>
      </c>
      <c r="K67" s="49">
        <f t="shared" ref="K67:K130" si="8">IF(G67&gt;0,G67/F67,"")</f>
        <v>70.8</v>
      </c>
      <c r="L67" s="50" t="str">
        <f t="shared" ref="L67:L130" si="9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48">
        <f t="shared" si="6"/>
        <v>1.1561904761904762</v>
      </c>
      <c r="J68" s="48" t="str">
        <f t="shared" si="7"/>
        <v>Medium</v>
      </c>
      <c r="K68" s="49">
        <f t="shared" si="8"/>
        <v>70.5</v>
      </c>
      <c r="L68" s="50" t="str">
        <f t="shared" si="9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48">
        <f t="shared" si="6"/>
        <v>1.4227777777777777</v>
      </c>
      <c r="J69" s="48" t="str">
        <f t="shared" si="7"/>
        <v>Medium</v>
      </c>
      <c r="K69" s="49">
        <f t="shared" si="8"/>
        <v>68.526666666666671</v>
      </c>
      <c r="L69" s="50" t="str">
        <f t="shared" si="9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48">
        <f t="shared" si="6"/>
        <v>1.424040404040404</v>
      </c>
      <c r="J70" s="48" t="str">
        <f t="shared" si="7"/>
        <v>Medium</v>
      </c>
      <c r="K70" s="49">
        <f t="shared" si="8"/>
        <v>101.99</v>
      </c>
      <c r="L70" s="50" t="str">
        <f t="shared" si="9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48">
        <f t="shared" si="6"/>
        <v>2.5536363636363637</v>
      </c>
      <c r="J71" s="48" t="str">
        <f t="shared" si="7"/>
        <v>High</v>
      </c>
      <c r="K71" s="49">
        <f t="shared" si="8"/>
        <v>203.6</v>
      </c>
      <c r="L71" s="50" t="str">
        <f t="shared" si="9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48">
        <f t="shared" si="6"/>
        <v>0.76322580645161286</v>
      </c>
      <c r="J72" s="48" t="str">
        <f t="shared" si="7"/>
        <v>Medium</v>
      </c>
      <c r="K72" s="49">
        <f t="shared" si="8"/>
        <v>97.5</v>
      </c>
      <c r="L72" s="50" t="str">
        <f t="shared" si="9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48">
        <f t="shared" si="6"/>
        <v>1.0821568627450979</v>
      </c>
      <c r="J73" s="48" t="str">
        <f t="shared" si="7"/>
        <v>Medium</v>
      </c>
      <c r="K73" s="49">
        <f t="shared" si="8"/>
        <v>188</v>
      </c>
      <c r="L73" s="50" t="str">
        <f t="shared" si="9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48">
        <f t="shared" si="6"/>
        <v>0.9517073170731708</v>
      </c>
      <c r="J74" s="48" t="str">
        <f t="shared" si="7"/>
        <v>Medium</v>
      </c>
      <c r="K74" s="49">
        <f t="shared" si="8"/>
        <v>183</v>
      </c>
      <c r="L74" s="50" t="str">
        <f t="shared" si="9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48">
        <f t="shared" si="6"/>
        <v>0.92842105263157892</v>
      </c>
      <c r="J75" s="48" t="str">
        <f t="shared" si="7"/>
        <v>Medium</v>
      </c>
      <c r="K75" s="49">
        <f t="shared" si="8"/>
        <v>88.495000000000005</v>
      </c>
      <c r="L75" s="50" t="str">
        <f t="shared" si="9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48">
        <f t="shared" si="6"/>
        <v>1.654318181818182</v>
      </c>
      <c r="J76" s="48" t="str">
        <f t="shared" si="7"/>
        <v>High</v>
      </c>
      <c r="K76" s="49">
        <f t="shared" si="8"/>
        <v>170</v>
      </c>
      <c r="L76" s="50" t="str">
        <f t="shared" si="9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48">
        <f t="shared" si="6"/>
        <v>0.29625000000000001</v>
      </c>
      <c r="J77" s="48" t="str">
        <f t="shared" si="7"/>
        <v>Low</v>
      </c>
      <c r="K77" s="49">
        <f t="shared" si="8"/>
        <v>162.9</v>
      </c>
      <c r="L77" s="50" t="str">
        <f t="shared" si="9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48">
        <f t="shared" si="6"/>
        <v>0.65842105263157902</v>
      </c>
      <c r="J78" s="48" t="str">
        <f t="shared" si="7"/>
        <v>Medium</v>
      </c>
      <c r="K78" s="49">
        <f t="shared" si="8"/>
        <v>162</v>
      </c>
      <c r="L78" s="50" t="str">
        <f t="shared" si="9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48">
        <f t="shared" si="6"/>
        <v>1.1463917525773195</v>
      </c>
      <c r="J79" s="48" t="str">
        <f t="shared" si="7"/>
        <v>Medium</v>
      </c>
      <c r="K79" s="49">
        <f t="shared" si="8"/>
        <v>40.15</v>
      </c>
      <c r="L79" s="50" t="str">
        <f t="shared" si="9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48">
        <f t="shared" si="6"/>
        <v>0.81</v>
      </c>
      <c r="J80" s="48" t="str">
        <f t="shared" si="7"/>
        <v>Medium</v>
      </c>
      <c r="K80" s="49">
        <f t="shared" si="8"/>
        <v>157</v>
      </c>
      <c r="L80" s="50" t="str">
        <f t="shared" si="9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48">
        <f t="shared" si="6"/>
        <v>0.58534562211981567</v>
      </c>
      <c r="J81" s="48" t="str">
        <f t="shared" si="7"/>
        <v>Medium</v>
      </c>
      <c r="K81" s="49">
        <f t="shared" si="8"/>
        <v>30.75</v>
      </c>
      <c r="L81" s="50" t="str">
        <f t="shared" si="9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48">
        <f t="shared" si="6"/>
        <v>0.23326086956521741</v>
      </c>
      <c r="J82" s="48" t="str">
        <f t="shared" si="7"/>
        <v>Low</v>
      </c>
      <c r="K82" s="49">
        <f t="shared" si="8"/>
        <v>150</v>
      </c>
      <c r="L82" s="50" t="str">
        <f t="shared" si="9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48">
        <f t="shared" si="6"/>
        <v>0.62071428571428566</v>
      </c>
      <c r="J83" s="48" t="str">
        <f t="shared" si="7"/>
        <v>Medium</v>
      </c>
      <c r="K83" s="49">
        <f t="shared" si="8"/>
        <v>75</v>
      </c>
      <c r="L83" s="50" t="str">
        <f t="shared" si="9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48">
        <f t="shared" si="6"/>
        <v>2.1166666666666667</v>
      </c>
      <c r="J84" s="48" t="str">
        <f t="shared" si="7"/>
        <v>High</v>
      </c>
      <c r="K84" s="49">
        <f t="shared" si="8"/>
        <v>74.734999999999999</v>
      </c>
      <c r="L84" s="50" t="str">
        <f t="shared" si="9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48">
        <f t="shared" si="6"/>
        <v>1.0508139534883723</v>
      </c>
      <c r="J85" s="48" t="str">
        <f t="shared" si="7"/>
        <v>Medium</v>
      </c>
      <c r="K85" s="49">
        <f t="shared" si="8"/>
        <v>74.5</v>
      </c>
      <c r="L85" s="50" t="str">
        <f t="shared" si="9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48">
        <f t="shared" si="6"/>
        <v>0.9966666666666667</v>
      </c>
      <c r="J86" s="48" t="str">
        <f t="shared" si="7"/>
        <v>Medium</v>
      </c>
      <c r="K86" s="49">
        <f t="shared" si="8"/>
        <v>71.965000000000003</v>
      </c>
      <c r="L86" s="50" t="str">
        <f t="shared" si="9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48">
        <f t="shared" si="6"/>
        <v>1.8770588235294117</v>
      </c>
      <c r="J87" s="48" t="str">
        <f t="shared" si="7"/>
        <v>High</v>
      </c>
      <c r="K87" s="49">
        <f t="shared" si="8"/>
        <v>142</v>
      </c>
      <c r="L87" s="50" t="str">
        <f t="shared" si="9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48">
        <f t="shared" si="6"/>
        <v>0.52079999999999993</v>
      </c>
      <c r="J88" s="48" t="str">
        <f t="shared" si="7"/>
        <v>Medium</v>
      </c>
      <c r="K88" s="49">
        <f t="shared" si="8"/>
        <v>139</v>
      </c>
      <c r="L88" s="50" t="str">
        <f t="shared" si="9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48">
        <f t="shared" si="6"/>
        <v>2.0116666666666667</v>
      </c>
      <c r="J89" s="48" t="str">
        <f t="shared" si="7"/>
        <v>High</v>
      </c>
      <c r="K89" s="49">
        <f t="shared" si="8"/>
        <v>134</v>
      </c>
      <c r="L89" s="50" t="str">
        <f t="shared" si="9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48">
        <f t="shared" si="6"/>
        <v>0.9496296296296296</v>
      </c>
      <c r="J90" s="48" t="str">
        <f t="shared" si="7"/>
        <v>Medium</v>
      </c>
      <c r="K90" s="49">
        <f t="shared" si="8"/>
        <v>26.7</v>
      </c>
      <c r="L90" s="50" t="str">
        <f t="shared" si="9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48">
        <f t="shared" si="6"/>
        <v>0.3080357142857143</v>
      </c>
      <c r="J91" s="48" t="str">
        <f t="shared" si="7"/>
        <v>Low</v>
      </c>
      <c r="K91" s="49">
        <f t="shared" si="8"/>
        <v>132</v>
      </c>
      <c r="L91" s="50" t="str">
        <f t="shared" si="9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48">
        <f t="shared" si="6"/>
        <v>2.1875</v>
      </c>
      <c r="J92" s="48" t="str">
        <f t="shared" si="7"/>
        <v>High</v>
      </c>
      <c r="K92" s="49">
        <f t="shared" si="8"/>
        <v>65.125</v>
      </c>
      <c r="L92" s="50" t="str">
        <f t="shared" si="9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48">
        <f t="shared" si="6"/>
        <v>0.74828054298642532</v>
      </c>
      <c r="J93" s="48" t="str">
        <f t="shared" si="7"/>
        <v>Medium</v>
      </c>
      <c r="K93" s="49">
        <f t="shared" si="8"/>
        <v>43.143333333333338</v>
      </c>
      <c r="L93" s="50" t="str">
        <f t="shared" si="9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48">
        <f t="shared" si="6"/>
        <v>3.0582051282051279</v>
      </c>
      <c r="J94" s="48" t="str">
        <f t="shared" si="7"/>
        <v>High</v>
      </c>
      <c r="K94" s="49">
        <f t="shared" si="8"/>
        <v>127.2</v>
      </c>
      <c r="L94" s="50" t="str">
        <f t="shared" si="9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48">
        <f t="shared" si="6"/>
        <v>0.72189189189189196</v>
      </c>
      <c r="J95" s="48" t="str">
        <f t="shared" si="7"/>
        <v>Medium</v>
      </c>
      <c r="K95" s="49">
        <f t="shared" si="8"/>
        <v>62</v>
      </c>
      <c r="L95" s="50" t="str">
        <f t="shared" si="9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48">
        <f t="shared" si="6"/>
        <v>1.9720833333333332</v>
      </c>
      <c r="J96" s="48" t="str">
        <f t="shared" si="7"/>
        <v>High</v>
      </c>
      <c r="K96" s="49">
        <f t="shared" si="8"/>
        <v>61.5</v>
      </c>
      <c r="L96" s="50" t="str">
        <f t="shared" si="9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48">
        <f t="shared" si="6"/>
        <v>1.3917910447761195</v>
      </c>
      <c r="J97" s="48" t="str">
        <f t="shared" si="7"/>
        <v>Medium</v>
      </c>
      <c r="K97" s="49">
        <f t="shared" si="8"/>
        <v>58.9</v>
      </c>
      <c r="L97" s="50" t="str">
        <f t="shared" si="9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48">
        <f t="shared" si="6"/>
        <v>1.1197142857142857</v>
      </c>
      <c r="J98" s="48" t="str">
        <f t="shared" si="7"/>
        <v>Medium</v>
      </c>
      <c r="K98" s="49">
        <f t="shared" si="8"/>
        <v>115</v>
      </c>
      <c r="L98" s="50" t="str">
        <f t="shared" si="9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48">
        <f t="shared" si="6"/>
        <v>0.60485714285714287</v>
      </c>
      <c r="J99" s="48" t="str">
        <f t="shared" si="7"/>
        <v>Medium</v>
      </c>
      <c r="K99" s="49">
        <f t="shared" si="8"/>
        <v>113</v>
      </c>
      <c r="L99" s="50" t="str">
        <f t="shared" si="9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48">
        <f t="shared" si="6"/>
        <v>2.9588461538461539</v>
      </c>
      <c r="J100" s="48" t="str">
        <f t="shared" si="7"/>
        <v>High</v>
      </c>
      <c r="K100" s="49">
        <f t="shared" si="8"/>
        <v>113</v>
      </c>
      <c r="L100" s="50" t="str">
        <f t="shared" si="9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48">
        <f t="shared" si="6"/>
        <v>1.7271428571428571</v>
      </c>
      <c r="J101" s="48" t="str">
        <f t="shared" si="7"/>
        <v>High</v>
      </c>
      <c r="K101" s="49">
        <f t="shared" si="8"/>
        <v>111.6</v>
      </c>
      <c r="L101" s="50" t="str">
        <f t="shared" si="9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48">
        <f t="shared" si="6"/>
        <v>0.64500000000000002</v>
      </c>
      <c r="J102" s="48" t="str">
        <f t="shared" si="7"/>
        <v>Medium</v>
      </c>
      <c r="K102" s="49">
        <f t="shared" si="8"/>
        <v>109</v>
      </c>
      <c r="L102" s="50" t="str">
        <f t="shared" si="9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48">
        <f t="shared" si="6"/>
        <v>1.2895138888888888</v>
      </c>
      <c r="J103" s="48" t="str">
        <f t="shared" si="7"/>
        <v>Medium</v>
      </c>
      <c r="K103" s="49">
        <f t="shared" si="8"/>
        <v>103.5</v>
      </c>
      <c r="L103" s="50" t="str">
        <f t="shared" si="9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48">
        <f t="shared" si="6"/>
        <v>0.42755555555555552</v>
      </c>
      <c r="J104" s="48" t="str">
        <f t="shared" si="7"/>
        <v>Low</v>
      </c>
      <c r="K104" s="49">
        <f t="shared" si="8"/>
        <v>51</v>
      </c>
      <c r="L104" s="50" t="str">
        <f t="shared" si="9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48">
        <f t="shared" si="6"/>
        <v>2.1579166666666665</v>
      </c>
      <c r="J105" s="48" t="str">
        <f t="shared" si="7"/>
        <v>High</v>
      </c>
      <c r="K105" s="49">
        <f t="shared" si="8"/>
        <v>101.5</v>
      </c>
      <c r="L105" s="50" t="str">
        <f t="shared" si="9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48">
        <f t="shared" si="6"/>
        <v>1.0104093567251462</v>
      </c>
      <c r="J106" s="48" t="str">
        <f t="shared" si="7"/>
        <v>Medium</v>
      </c>
      <c r="K106" s="49">
        <f t="shared" si="8"/>
        <v>33.016666666666666</v>
      </c>
      <c r="L106" s="50" t="str">
        <f t="shared" si="9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48">
        <f t="shared" si="6"/>
        <v>0.24714285714285714</v>
      </c>
      <c r="J107" s="48" t="str">
        <f t="shared" si="7"/>
        <v>Low</v>
      </c>
      <c r="K107" s="49">
        <f t="shared" si="8"/>
        <v>99</v>
      </c>
      <c r="L107" s="50" t="str">
        <f t="shared" si="9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48">
        <f t="shared" si="6"/>
        <v>0.22638297872340427</v>
      </c>
      <c r="J108" s="48" t="str">
        <f t="shared" si="7"/>
        <v>Low</v>
      </c>
      <c r="K108" s="49">
        <f t="shared" si="8"/>
        <v>99</v>
      </c>
      <c r="L108" s="50" t="str">
        <f t="shared" si="9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48">
        <f t="shared" si="6"/>
        <v>0.238125</v>
      </c>
      <c r="J109" s="48" t="str">
        <f t="shared" si="7"/>
        <v>Low</v>
      </c>
      <c r="K109" s="49">
        <f t="shared" si="8"/>
        <v>47.994999999999997</v>
      </c>
      <c r="L109" s="50" t="str">
        <f t="shared" si="9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48">
        <f t="shared" si="6"/>
        <v>0.19858757062146892</v>
      </c>
      <c r="J110" s="48" t="str">
        <f t="shared" si="7"/>
        <v>Low</v>
      </c>
      <c r="K110" s="49">
        <f t="shared" si="8"/>
        <v>31.99</v>
      </c>
      <c r="L110" s="50" t="str">
        <f t="shared" si="9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48">
        <f t="shared" si="6"/>
        <v>0.96432432432432436</v>
      </c>
      <c r="J111" s="48" t="str">
        <f t="shared" si="7"/>
        <v>Medium</v>
      </c>
      <c r="K111" s="49">
        <f t="shared" si="8"/>
        <v>94</v>
      </c>
      <c r="L111" s="50" t="str">
        <f t="shared" si="9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48">
        <f t="shared" si="6"/>
        <v>0.13364035087719298</v>
      </c>
      <c r="J112" s="48" t="str">
        <f t="shared" si="7"/>
        <v>Low</v>
      </c>
      <c r="K112" s="49">
        <f t="shared" si="8"/>
        <v>94</v>
      </c>
      <c r="L112" s="50" t="str">
        <f t="shared" si="9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48">
        <f t="shared" si="6"/>
        <v>0.42071428571428571</v>
      </c>
      <c r="J113" s="48" t="str">
        <f t="shared" si="7"/>
        <v>Low</v>
      </c>
      <c r="K113" s="49">
        <f t="shared" si="8"/>
        <v>46.49</v>
      </c>
      <c r="L113" s="50" t="str">
        <f t="shared" si="9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48">
        <f t="shared" si="6"/>
        <v>0.15045454545454545</v>
      </c>
      <c r="J114" s="48" t="str">
        <f t="shared" si="7"/>
        <v>Low</v>
      </c>
      <c r="K114" s="49">
        <f t="shared" si="8"/>
        <v>92</v>
      </c>
      <c r="L114" s="50" t="str">
        <f t="shared" si="9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48">
        <f t="shared" si="6"/>
        <v>0.29806451612903229</v>
      </c>
      <c r="J115" s="48" t="str">
        <f t="shared" si="7"/>
        <v>Low</v>
      </c>
      <c r="K115" s="49">
        <f t="shared" si="8"/>
        <v>92</v>
      </c>
      <c r="L115" s="50" t="str">
        <f t="shared" si="9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48">
        <f t="shared" si="6"/>
        <v>1.1004040404040403</v>
      </c>
      <c r="J116" s="48" t="str">
        <f t="shared" si="7"/>
        <v>Medium</v>
      </c>
      <c r="K116" s="49">
        <f t="shared" si="8"/>
        <v>45.5</v>
      </c>
      <c r="L116" s="50" t="str">
        <f t="shared" si="9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48">
        <f t="shared" si="6"/>
        <v>0.42826923076923074</v>
      </c>
      <c r="J117" s="48" t="str">
        <f t="shared" si="7"/>
        <v>Low</v>
      </c>
      <c r="K117" s="49">
        <f t="shared" si="8"/>
        <v>45.5</v>
      </c>
      <c r="L117" s="50" t="str">
        <f t="shared" si="9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48">
        <f t="shared" si="6"/>
        <v>1.507076923076923</v>
      </c>
      <c r="J118" s="48" t="str">
        <f t="shared" si="7"/>
        <v>High</v>
      </c>
      <c r="K118" s="49">
        <f t="shared" si="8"/>
        <v>89.98</v>
      </c>
      <c r="L118" s="50" t="str">
        <f t="shared" si="9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48">
        <f t="shared" si="6"/>
        <v>1.202142857142857</v>
      </c>
      <c r="J119" s="48" t="str">
        <f t="shared" si="7"/>
        <v>Medium</v>
      </c>
      <c r="K119" s="49">
        <f t="shared" si="8"/>
        <v>89.5</v>
      </c>
      <c r="L119" s="50" t="str">
        <f t="shared" si="9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48">
        <f t="shared" si="6"/>
        <v>1.0464102564102564</v>
      </c>
      <c r="J120" s="48" t="str">
        <f t="shared" si="7"/>
        <v>Medium</v>
      </c>
      <c r="K120" s="49">
        <f t="shared" si="8"/>
        <v>88</v>
      </c>
      <c r="L120" s="50" t="str">
        <f t="shared" si="9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48">
        <f t="shared" si="6"/>
        <v>0.21947368421052632</v>
      </c>
      <c r="J121" s="48" t="str">
        <f t="shared" si="7"/>
        <v>Low</v>
      </c>
      <c r="K121" s="49">
        <f t="shared" si="8"/>
        <v>88</v>
      </c>
      <c r="L121" s="50" t="str">
        <f t="shared" si="9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48">
        <f t="shared" si="6"/>
        <v>1.2141935483870967</v>
      </c>
      <c r="J122" s="48" t="str">
        <f t="shared" si="7"/>
        <v>Medium</v>
      </c>
      <c r="K122" s="49">
        <f t="shared" si="8"/>
        <v>88</v>
      </c>
      <c r="L122" s="50" t="str">
        <f t="shared" si="9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48">
        <f t="shared" si="6"/>
        <v>2.1694594594594592</v>
      </c>
      <c r="J123" s="48" t="str">
        <f t="shared" si="7"/>
        <v>High</v>
      </c>
      <c r="K123" s="49">
        <f t="shared" si="8"/>
        <v>87</v>
      </c>
      <c r="L123" s="50" t="str">
        <f t="shared" si="9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48">
        <f t="shared" si="6"/>
        <v>0.77843137254901962</v>
      </c>
      <c r="J124" s="48" t="str">
        <f t="shared" si="7"/>
        <v>Medium</v>
      </c>
      <c r="K124" s="49">
        <f t="shared" si="8"/>
        <v>29</v>
      </c>
      <c r="L124" s="50" t="str">
        <f t="shared" si="9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48">
        <f t="shared" si="6"/>
        <v>0.55224000000000006</v>
      </c>
      <c r="J125" s="48" t="str">
        <f t="shared" si="7"/>
        <v>Medium</v>
      </c>
      <c r="K125" s="49">
        <f t="shared" si="8"/>
        <v>43</v>
      </c>
      <c r="L125" s="50" t="str">
        <f t="shared" si="9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48">
        <f t="shared" si="6"/>
        <v>0.24056338028169011</v>
      </c>
      <c r="J126" s="48" t="str">
        <f t="shared" si="7"/>
        <v>Low</v>
      </c>
      <c r="K126" s="49">
        <f t="shared" si="8"/>
        <v>85.92</v>
      </c>
      <c r="L126" s="50" t="str">
        <f t="shared" si="9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48">
        <f t="shared" si="6"/>
        <v>0.96947368421052638</v>
      </c>
      <c r="J127" s="48" t="str">
        <f t="shared" si="7"/>
        <v>Medium</v>
      </c>
      <c r="K127" s="49">
        <f t="shared" si="8"/>
        <v>42.825000000000003</v>
      </c>
      <c r="L127" s="50" t="str">
        <f t="shared" si="9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48">
        <f t="shared" si="6"/>
        <v>0.77769230769230768</v>
      </c>
      <c r="J128" s="48" t="str">
        <f t="shared" si="7"/>
        <v>Medium</v>
      </c>
      <c r="K128" s="49">
        <f t="shared" si="8"/>
        <v>84</v>
      </c>
      <c r="L128" s="50" t="str">
        <f t="shared" si="9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48">
        <f t="shared" si="6"/>
        <v>1.4095</v>
      </c>
      <c r="J129" s="48" t="str">
        <f t="shared" si="7"/>
        <v>Medium</v>
      </c>
      <c r="K129" s="49">
        <f t="shared" si="8"/>
        <v>83</v>
      </c>
      <c r="L129" s="50" t="str">
        <f t="shared" si="9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48">
        <f t="shared" si="6"/>
        <v>1.6975</v>
      </c>
      <c r="J130" s="48" t="str">
        <f t="shared" si="7"/>
        <v>High</v>
      </c>
      <c r="K130" s="49">
        <f t="shared" si="8"/>
        <v>82</v>
      </c>
      <c r="L130" s="50" t="str">
        <f t="shared" si="9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48">
        <f t="shared" ref="I131:I194" si="10">IF(E131&gt;0,H131/E131,"")</f>
        <v>0.30765957446808512</v>
      </c>
      <c r="J131" s="48" t="str">
        <f t="shared" ref="J131:J194" si="11">IF(ISNUMBER(I131),IF(I131&lt;=0.5,"Low",IF(I131&lt;=1.5,"Medium","High")),"Untested")</f>
        <v>Low</v>
      </c>
      <c r="K131" s="49">
        <f t="shared" ref="K131:K194" si="12">IF(G131&gt;0,G131/F131,"")</f>
        <v>80</v>
      </c>
      <c r="L131" s="50" t="str">
        <f t="shared" ref="L131:L194" si="13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48">
        <f t="shared" si="10"/>
        <v>0.8041666666666667</v>
      </c>
      <c r="J132" s="48" t="str">
        <f t="shared" si="11"/>
        <v>Medium</v>
      </c>
      <c r="K132" s="49">
        <f t="shared" si="12"/>
        <v>79</v>
      </c>
      <c r="L132" s="50" t="str">
        <f t="shared" si="13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48">
        <f t="shared" si="10"/>
        <v>0.61514705882352938</v>
      </c>
      <c r="J133" s="48" t="str">
        <f t="shared" si="11"/>
        <v>Medium</v>
      </c>
      <c r="K133" s="49">
        <f t="shared" si="12"/>
        <v>79</v>
      </c>
      <c r="L133" s="50" t="str">
        <f t="shared" si="13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48">
        <f t="shared" si="10"/>
        <v>1.2817391304347825</v>
      </c>
      <c r="J134" s="48" t="str">
        <f t="shared" si="11"/>
        <v>Medium</v>
      </c>
      <c r="K134" s="49">
        <f t="shared" si="12"/>
        <v>79</v>
      </c>
      <c r="L134" s="50" t="str">
        <f t="shared" si="13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48">
        <f t="shared" si="10"/>
        <v>1.4816666666666667</v>
      </c>
      <c r="J135" s="48" t="str">
        <f t="shared" si="11"/>
        <v>Medium</v>
      </c>
      <c r="K135" s="49">
        <f t="shared" si="12"/>
        <v>79</v>
      </c>
      <c r="L135" s="50" t="str">
        <f t="shared" si="13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48">
        <f t="shared" si="10"/>
        <v>0.23590909090909093</v>
      </c>
      <c r="J136" s="48" t="str">
        <f t="shared" si="11"/>
        <v>Low</v>
      </c>
      <c r="K136" s="49">
        <f t="shared" si="12"/>
        <v>78</v>
      </c>
      <c r="L136" s="50" t="str">
        <f t="shared" si="13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48">
        <f t="shared" si="10"/>
        <v>0.91835616438356171</v>
      </c>
      <c r="J137" s="48" t="str">
        <f t="shared" si="11"/>
        <v>Medium</v>
      </c>
      <c r="K137" s="49">
        <f t="shared" si="12"/>
        <v>78</v>
      </c>
      <c r="L137" s="50" t="str">
        <f t="shared" si="13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48">
        <f t="shared" si="10"/>
        <v>1.1846153846153846</v>
      </c>
      <c r="J138" s="48" t="str">
        <f t="shared" si="11"/>
        <v>Medium</v>
      </c>
      <c r="K138" s="49">
        <f t="shared" si="12"/>
        <v>77.5</v>
      </c>
      <c r="L138" s="50" t="str">
        <f t="shared" si="13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48">
        <f t="shared" si="10"/>
        <v>0.85600000000000009</v>
      </c>
      <c r="J139" s="48" t="str">
        <f t="shared" si="11"/>
        <v>Medium</v>
      </c>
      <c r="K139" s="49">
        <f t="shared" si="12"/>
        <v>76</v>
      </c>
      <c r="L139" s="50" t="str">
        <f t="shared" si="13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48">
        <f t="shared" si="10"/>
        <v>1.5756250000000001</v>
      </c>
      <c r="J140" s="48" t="str">
        <f t="shared" si="11"/>
        <v>High</v>
      </c>
      <c r="K140" s="49">
        <f t="shared" si="12"/>
        <v>75.98</v>
      </c>
      <c r="L140" s="50" t="str">
        <f t="shared" si="13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48">
        <f t="shared" si="10"/>
        <v>2.5522222222222219</v>
      </c>
      <c r="J141" s="48" t="str">
        <f t="shared" si="11"/>
        <v>High</v>
      </c>
      <c r="K141" s="49">
        <f t="shared" si="12"/>
        <v>37.5</v>
      </c>
      <c r="L141" s="50" t="str">
        <f t="shared" si="13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48">
        <f t="shared" si="10"/>
        <v>0.25092592592592594</v>
      </c>
      <c r="J142" s="48" t="str">
        <f t="shared" si="11"/>
        <v>Low</v>
      </c>
      <c r="K142" s="49">
        <f t="shared" si="12"/>
        <v>75</v>
      </c>
      <c r="L142" s="50" t="str">
        <f t="shared" si="13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48">
        <f t="shared" si="10"/>
        <v>0.65214285714285714</v>
      </c>
      <c r="J143" s="48" t="str">
        <f t="shared" si="11"/>
        <v>Medium</v>
      </c>
      <c r="K143" s="49">
        <f t="shared" si="12"/>
        <v>74</v>
      </c>
      <c r="L143" s="50" t="str">
        <f t="shared" si="13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48">
        <f t="shared" si="10"/>
        <v>0.87777777777777777</v>
      </c>
      <c r="J144" s="48" t="str">
        <f t="shared" si="11"/>
        <v>Medium</v>
      </c>
      <c r="K144" s="49">
        <f t="shared" si="12"/>
        <v>74</v>
      </c>
      <c r="L144" s="50" t="str">
        <f t="shared" si="13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48">
        <f t="shared" si="10"/>
        <v>1.0865925925925926</v>
      </c>
      <c r="J145" s="48" t="str">
        <f t="shared" si="11"/>
        <v>Medium</v>
      </c>
      <c r="K145" s="49">
        <f t="shared" si="12"/>
        <v>37</v>
      </c>
      <c r="L145" s="50" t="str">
        <f t="shared" si="13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48">
        <f t="shared" si="10"/>
        <v>0.89884615384615385</v>
      </c>
      <c r="J146" s="48" t="str">
        <f t="shared" si="11"/>
        <v>Medium</v>
      </c>
      <c r="K146" s="49">
        <f t="shared" si="12"/>
        <v>72.98</v>
      </c>
      <c r="L146" s="50" t="str">
        <f t="shared" si="13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48">
        <f t="shared" si="10"/>
        <v>0.69666666666666666</v>
      </c>
      <c r="J147" s="48" t="str">
        <f t="shared" si="11"/>
        <v>Medium</v>
      </c>
      <c r="K147" s="49">
        <f t="shared" si="12"/>
        <v>69.989999999999995</v>
      </c>
      <c r="L147" s="50" t="str">
        <f t="shared" si="13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48">
        <f t="shared" si="10"/>
        <v>0.53230769230769237</v>
      </c>
      <c r="J148" s="48" t="str">
        <f t="shared" si="11"/>
        <v>Medium</v>
      </c>
      <c r="K148" s="49">
        <f t="shared" si="12"/>
        <v>68</v>
      </c>
      <c r="L148" s="50" t="str">
        <f t="shared" si="13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48">
        <f t="shared" si="10"/>
        <v>0.755</v>
      </c>
      <c r="J149" s="48" t="str">
        <f t="shared" si="11"/>
        <v>Medium</v>
      </c>
      <c r="K149" s="49">
        <f t="shared" si="12"/>
        <v>67</v>
      </c>
      <c r="L149" s="50" t="str">
        <f t="shared" si="13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48">
        <f t="shared" si="10"/>
        <v>1.7425531914893617</v>
      </c>
      <c r="J150" s="48" t="str">
        <f t="shared" si="11"/>
        <v>High</v>
      </c>
      <c r="K150" s="49">
        <f t="shared" si="12"/>
        <v>64</v>
      </c>
      <c r="L150" s="50" t="str">
        <f t="shared" si="13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48">
        <f t="shared" si="10"/>
        <v>0.115</v>
      </c>
      <c r="J151" s="48" t="str">
        <f t="shared" si="11"/>
        <v>Low</v>
      </c>
      <c r="K151" s="49">
        <f t="shared" si="12"/>
        <v>63.6</v>
      </c>
      <c r="L151" s="50" t="str">
        <f t="shared" si="13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48">
        <f t="shared" si="10"/>
        <v>0.30071428571428571</v>
      </c>
      <c r="J152" s="48" t="str">
        <f t="shared" si="11"/>
        <v>Low</v>
      </c>
      <c r="K152" s="49">
        <f t="shared" si="12"/>
        <v>63.5</v>
      </c>
      <c r="L152" s="50" t="str">
        <f t="shared" si="13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48">
        <f t="shared" si="10"/>
        <v>0.48555555555555557</v>
      </c>
      <c r="J153" s="48" t="str">
        <f t="shared" si="11"/>
        <v>Low</v>
      </c>
      <c r="K153" s="49">
        <f t="shared" si="12"/>
        <v>63</v>
      </c>
      <c r="L153" s="50" t="str">
        <f t="shared" si="13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48">
        <f t="shared" si="10"/>
        <v>0.58384615384615379</v>
      </c>
      <c r="J154" s="48" t="str">
        <f t="shared" si="11"/>
        <v>Medium</v>
      </c>
      <c r="K154" s="49">
        <f t="shared" si="12"/>
        <v>63</v>
      </c>
      <c r="L154" s="50" t="str">
        <f t="shared" si="13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48">
        <f t="shared" si="10"/>
        <v>0.90803149606299205</v>
      </c>
      <c r="J155" s="48" t="str">
        <f t="shared" si="11"/>
        <v>Medium</v>
      </c>
      <c r="K155" s="49">
        <f t="shared" si="12"/>
        <v>62</v>
      </c>
      <c r="L155" s="50" t="str">
        <f t="shared" si="13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48">
        <f t="shared" si="10"/>
        <v>0.23705882352941177</v>
      </c>
      <c r="J156" s="48" t="str">
        <f t="shared" si="11"/>
        <v>Low</v>
      </c>
      <c r="K156" s="49">
        <f t="shared" si="12"/>
        <v>31</v>
      </c>
      <c r="L156" s="50" t="str">
        <f t="shared" si="13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48">
        <f t="shared" si="10"/>
        <v>0.75853658536585367</v>
      </c>
      <c r="J157" s="48" t="str">
        <f t="shared" si="11"/>
        <v>Medium</v>
      </c>
      <c r="K157" s="49">
        <f t="shared" si="12"/>
        <v>20.400000000000002</v>
      </c>
      <c r="L157" s="50" t="str">
        <f t="shared" si="13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48">
        <f t="shared" si="10"/>
        <v>0.25258064516129031</v>
      </c>
      <c r="J158" s="48" t="str">
        <f t="shared" si="11"/>
        <v>Low</v>
      </c>
      <c r="K158" s="49">
        <f t="shared" si="12"/>
        <v>30.5</v>
      </c>
      <c r="L158" s="50" t="str">
        <f t="shared" si="13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48">
        <f t="shared" si="10"/>
        <v>0.35000000000000003</v>
      </c>
      <c r="J159" s="48" t="str">
        <f t="shared" si="11"/>
        <v>Low</v>
      </c>
      <c r="K159" s="49">
        <f t="shared" si="12"/>
        <v>61</v>
      </c>
      <c r="L159" s="50" t="str">
        <f t="shared" si="13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48">
        <f t="shared" si="10"/>
        <v>1.2463157894736843</v>
      </c>
      <c r="J160" s="48" t="str">
        <f t="shared" si="11"/>
        <v>Medium</v>
      </c>
      <c r="K160" s="49">
        <f t="shared" si="12"/>
        <v>60</v>
      </c>
      <c r="L160" s="50" t="str">
        <f t="shared" si="13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48">
        <f t="shared" si="10"/>
        <v>3.0989999999999998</v>
      </c>
      <c r="J161" s="48" t="str">
        <f t="shared" si="11"/>
        <v>High</v>
      </c>
      <c r="K161" s="49">
        <f t="shared" si="12"/>
        <v>59</v>
      </c>
      <c r="L161" s="50" t="str">
        <f t="shared" si="13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48">
        <f t="shared" si="10"/>
        <v>1.0666666666666667</v>
      </c>
      <c r="J162" s="48" t="str">
        <f t="shared" si="11"/>
        <v>Medium</v>
      </c>
      <c r="K162" s="49">
        <f t="shared" si="12"/>
        <v>58.5</v>
      </c>
      <c r="L162" s="50" t="str">
        <f t="shared" si="13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48">
        <f t="shared" si="10"/>
        <v>1.8736111111111111</v>
      </c>
      <c r="J163" s="48" t="str">
        <f t="shared" si="11"/>
        <v>High</v>
      </c>
      <c r="K163" s="49">
        <f t="shared" si="12"/>
        <v>58</v>
      </c>
      <c r="L163" s="50" t="str">
        <f t="shared" si="13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48">
        <f t="shared" si="10"/>
        <v>5.1757142857142853</v>
      </c>
      <c r="J164" s="48" t="str">
        <f t="shared" si="11"/>
        <v>High</v>
      </c>
      <c r="K164" s="49">
        <f t="shared" si="12"/>
        <v>57</v>
      </c>
      <c r="L164" s="50" t="str">
        <f t="shared" si="13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48">
        <f t="shared" si="10"/>
        <v>1.6435294117647059</v>
      </c>
      <c r="J165" s="48" t="str">
        <f t="shared" si="11"/>
        <v>High</v>
      </c>
      <c r="K165" s="49">
        <f t="shared" si="12"/>
        <v>56.8</v>
      </c>
      <c r="L165" s="50" t="str">
        <f t="shared" si="13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48">
        <f t="shared" si="10"/>
        <v>1.7813333333333332</v>
      </c>
      <c r="J166" s="48" t="str">
        <f t="shared" si="11"/>
        <v>High</v>
      </c>
      <c r="K166" s="49">
        <f t="shared" si="12"/>
        <v>55.96</v>
      </c>
      <c r="L166" s="50" t="str">
        <f t="shared" si="13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48">
        <f t="shared" si="10"/>
        <v>0.44764705882352945</v>
      </c>
      <c r="J167" s="48" t="str">
        <f t="shared" si="11"/>
        <v>Low</v>
      </c>
      <c r="K167" s="49">
        <f t="shared" si="12"/>
        <v>55.5</v>
      </c>
      <c r="L167" s="50" t="str">
        <f t="shared" si="13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48">
        <f t="shared" si="10"/>
        <v>1.081651376146789</v>
      </c>
      <c r="J168" s="48" t="str">
        <f t="shared" si="11"/>
        <v>Medium</v>
      </c>
      <c r="K168" s="49">
        <f t="shared" si="12"/>
        <v>55.3</v>
      </c>
      <c r="L168" s="50" t="str">
        <f t="shared" si="13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48">
        <f t="shared" si="10"/>
        <v>1.9319999999999999</v>
      </c>
      <c r="J169" s="48" t="str">
        <f t="shared" si="11"/>
        <v>High</v>
      </c>
      <c r="K169" s="49">
        <f t="shared" si="12"/>
        <v>55</v>
      </c>
      <c r="L169" s="50" t="str">
        <f t="shared" si="13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48">
        <f t="shared" si="10"/>
        <v>0.56242424242424238</v>
      </c>
      <c r="J170" s="48" t="str">
        <f t="shared" si="11"/>
        <v>Medium</v>
      </c>
      <c r="K170" s="49">
        <f t="shared" si="12"/>
        <v>55</v>
      </c>
      <c r="L170" s="50" t="str">
        <f t="shared" si="13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48">
        <f t="shared" si="10"/>
        <v>1.8315000000000001</v>
      </c>
      <c r="J171" s="48" t="str">
        <f t="shared" si="11"/>
        <v>High</v>
      </c>
      <c r="K171" s="49">
        <f t="shared" si="12"/>
        <v>54</v>
      </c>
      <c r="L171" s="50" t="str">
        <f t="shared" si="13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48">
        <f t="shared" si="10"/>
        <v>0.8290909090909091</v>
      </c>
      <c r="J172" s="48" t="str">
        <f t="shared" si="11"/>
        <v>Medium</v>
      </c>
      <c r="K172" s="49">
        <f t="shared" si="12"/>
        <v>52</v>
      </c>
      <c r="L172" s="50" t="str">
        <f t="shared" si="13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48">
        <f t="shared" si="10"/>
        <v>0.42000000000000004</v>
      </c>
      <c r="J173" s="48" t="str">
        <f t="shared" si="11"/>
        <v>Low</v>
      </c>
      <c r="K173" s="49">
        <f t="shared" si="12"/>
        <v>51</v>
      </c>
      <c r="L173" s="50" t="str">
        <f t="shared" si="13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48">
        <f t="shared" si="10"/>
        <v>2.7344444444444442</v>
      </c>
      <c r="J174" s="48" t="str">
        <f t="shared" si="11"/>
        <v>High</v>
      </c>
      <c r="K174" s="49">
        <f t="shared" si="12"/>
        <v>50.99</v>
      </c>
      <c r="L174" s="50" t="str">
        <f t="shared" si="13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48">
        <f t="shared" si="10"/>
        <v>1.8507500000000001</v>
      </c>
      <c r="J175" s="48" t="str">
        <f t="shared" si="11"/>
        <v>High</v>
      </c>
      <c r="K175" s="49">
        <f t="shared" si="12"/>
        <v>50</v>
      </c>
      <c r="L175" s="50" t="str">
        <f t="shared" si="13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48">
        <f t="shared" si="10"/>
        <v>0.29212121212121211</v>
      </c>
      <c r="J176" s="48" t="str">
        <f t="shared" si="11"/>
        <v>Low</v>
      </c>
      <c r="K176" s="49">
        <f t="shared" si="12"/>
        <v>25</v>
      </c>
      <c r="L176" s="50" t="str">
        <f t="shared" si="13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48">
        <f t="shared" si="10"/>
        <v>0.73576923076923073</v>
      </c>
      <c r="J177" s="48" t="str">
        <f t="shared" si="11"/>
        <v>Medium</v>
      </c>
      <c r="K177" s="49">
        <f t="shared" si="12"/>
        <v>50</v>
      </c>
      <c r="L177" s="50" t="str">
        <f t="shared" si="13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48">
        <f t="shared" si="10"/>
        <v>4.0049999999999999</v>
      </c>
      <c r="J178" s="48" t="str">
        <f t="shared" si="11"/>
        <v>High</v>
      </c>
      <c r="K178" s="49">
        <f t="shared" si="12"/>
        <v>49</v>
      </c>
      <c r="L178" s="50" t="str">
        <f t="shared" si="13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48">
        <f t="shared" si="10"/>
        <v>0.36399999999999999</v>
      </c>
      <c r="J179" s="48" t="str">
        <f t="shared" si="11"/>
        <v>Low</v>
      </c>
      <c r="K179" s="49">
        <f t="shared" si="12"/>
        <v>49</v>
      </c>
      <c r="L179" s="50" t="str">
        <f t="shared" si="13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48">
        <f t="shared" si="10"/>
        <v>1.1575</v>
      </c>
      <c r="J180" s="48" t="str">
        <f t="shared" si="11"/>
        <v>Medium</v>
      </c>
      <c r="K180" s="49">
        <f t="shared" si="12"/>
        <v>49</v>
      </c>
      <c r="L180" s="50" t="str">
        <f t="shared" si="13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48">
        <f t="shared" si="10"/>
        <v>0.96333333333333337</v>
      </c>
      <c r="J181" s="48" t="str">
        <f t="shared" si="11"/>
        <v>Medium</v>
      </c>
      <c r="K181" s="49">
        <f t="shared" si="12"/>
        <v>49</v>
      </c>
      <c r="L181" s="50" t="str">
        <f t="shared" si="13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48">
        <f t="shared" si="10"/>
        <v>0.96285714285714286</v>
      </c>
      <c r="J182" s="48" t="str">
        <f t="shared" si="11"/>
        <v>Medium</v>
      </c>
      <c r="K182" s="49">
        <f t="shared" si="12"/>
        <v>48</v>
      </c>
      <c r="L182" s="50" t="str">
        <f t="shared" si="13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48">
        <f t="shared" si="10"/>
        <v>0.15621359223300971</v>
      </c>
      <c r="J183" s="48" t="str">
        <f t="shared" si="11"/>
        <v>Low</v>
      </c>
      <c r="K183" s="49">
        <f t="shared" si="12"/>
        <v>48</v>
      </c>
      <c r="L183" s="50" t="str">
        <f t="shared" si="13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48">
        <f t="shared" si="10"/>
        <v>1.8787499999999999</v>
      </c>
      <c r="J184" s="48" t="str">
        <f t="shared" si="11"/>
        <v>High</v>
      </c>
      <c r="K184" s="49">
        <f t="shared" si="12"/>
        <v>45</v>
      </c>
      <c r="L184" s="50" t="str">
        <f t="shared" si="13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48">
        <f t="shared" si="10"/>
        <v>1.2633333333333332</v>
      </c>
      <c r="J185" s="48" t="str">
        <f t="shared" si="11"/>
        <v>Medium</v>
      </c>
      <c r="K185" s="49">
        <f t="shared" si="12"/>
        <v>45</v>
      </c>
      <c r="L185" s="50" t="str">
        <f t="shared" si="13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48">
        <f t="shared" si="10"/>
        <v>2.7194117647058822</v>
      </c>
      <c r="J186" s="48" t="str">
        <f t="shared" si="11"/>
        <v>High</v>
      </c>
      <c r="K186" s="49">
        <f t="shared" si="12"/>
        <v>44.75</v>
      </c>
      <c r="L186" s="50" t="str">
        <f t="shared" si="13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48">
        <f t="shared" si="10"/>
        <v>1.4251851851851851</v>
      </c>
      <c r="J187" s="48" t="str">
        <f t="shared" si="11"/>
        <v>Medium</v>
      </c>
      <c r="K187" s="49">
        <f t="shared" si="12"/>
        <v>44</v>
      </c>
      <c r="L187" s="50" t="str">
        <f t="shared" si="13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48">
        <f t="shared" si="10"/>
        <v>0.88913043478260867</v>
      </c>
      <c r="J188" s="48" t="str">
        <f t="shared" si="11"/>
        <v>Medium</v>
      </c>
      <c r="K188" s="49">
        <f t="shared" si="12"/>
        <v>43</v>
      </c>
      <c r="L188" s="50" t="str">
        <f t="shared" si="13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48">
        <f t="shared" si="10"/>
        <v>0.7443478260869566</v>
      </c>
      <c r="J189" s="48" t="str">
        <f t="shared" si="11"/>
        <v>Medium</v>
      </c>
      <c r="K189" s="49">
        <f t="shared" si="12"/>
        <v>42.98</v>
      </c>
      <c r="L189" s="50" t="str">
        <f t="shared" si="13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48">
        <f t="shared" si="10"/>
        <v>0.48671874999999998</v>
      </c>
      <c r="J190" s="48" t="str">
        <f t="shared" si="11"/>
        <v>Low</v>
      </c>
      <c r="K190" s="49">
        <f t="shared" si="12"/>
        <v>20.245000000000001</v>
      </c>
      <c r="L190" s="50" t="str">
        <f t="shared" si="13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48">
        <f t="shared" si="10"/>
        <v>1.0629411764705883</v>
      </c>
      <c r="J191" s="48" t="str">
        <f t="shared" si="11"/>
        <v>Medium</v>
      </c>
      <c r="K191" s="49">
        <f t="shared" si="12"/>
        <v>40</v>
      </c>
      <c r="L191" s="50" t="str">
        <f t="shared" si="13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48">
        <f t="shared" si="10"/>
        <v>0.97606299212598424</v>
      </c>
      <c r="J192" s="48" t="str">
        <f t="shared" si="11"/>
        <v>Medium</v>
      </c>
      <c r="K192" s="49">
        <f t="shared" si="12"/>
        <v>40</v>
      </c>
      <c r="L192" s="50" t="str">
        <f t="shared" si="13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48">
        <f t="shared" si="10"/>
        <v>0.74923076923076926</v>
      </c>
      <c r="J193" s="48" t="str">
        <f t="shared" si="11"/>
        <v>Medium</v>
      </c>
      <c r="K193" s="49">
        <f t="shared" si="12"/>
        <v>40</v>
      </c>
      <c r="L193" s="50" t="str">
        <f t="shared" si="13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48">
        <f t="shared" si="10"/>
        <v>0.23853658536585365</v>
      </c>
      <c r="J194" s="48" t="str">
        <f t="shared" si="11"/>
        <v>Low</v>
      </c>
      <c r="K194" s="49">
        <f t="shared" si="12"/>
        <v>39</v>
      </c>
      <c r="L194" s="50" t="str">
        <f t="shared" si="13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48">
        <f t="shared" ref="I195:I258" si="14">IF(E195&gt;0,H195/E195,"")</f>
        <v>0.59285714285714286</v>
      </c>
      <c r="J195" s="48" t="str">
        <f t="shared" ref="J195:J258" si="15">IF(ISNUMBER(I195),IF(I195&lt;=0.5,"Low",IF(I195&lt;=1.5,"Medium","High")),"Untested")</f>
        <v>Medium</v>
      </c>
      <c r="K195" s="49">
        <f t="shared" ref="K195:K258" si="16">IF(G195&gt;0,G195/F195,"")</f>
        <v>39</v>
      </c>
      <c r="L195" s="50" t="str">
        <f t="shared" ref="L195:L258" si="17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48">
        <f t="shared" si="14"/>
        <v>0.88769230769230767</v>
      </c>
      <c r="J196" s="48" t="str">
        <f t="shared" si="15"/>
        <v>Medium</v>
      </c>
      <c r="K196" s="49">
        <f t="shared" si="16"/>
        <v>38.49</v>
      </c>
      <c r="L196" s="50" t="str">
        <f t="shared" si="17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48">
        <f t="shared" si="14"/>
        <v>0.86735294117647055</v>
      </c>
      <c r="J197" s="48" t="str">
        <f t="shared" si="15"/>
        <v>Medium</v>
      </c>
      <c r="K197" s="49">
        <f t="shared" si="16"/>
        <v>38</v>
      </c>
      <c r="L197" s="50" t="str">
        <f t="shared" si="17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48">
        <f t="shared" si="14"/>
        <v>1.8128571428571429</v>
      </c>
      <c r="J198" s="48" t="str">
        <f t="shared" si="15"/>
        <v>High</v>
      </c>
      <c r="K198" s="49">
        <f t="shared" si="16"/>
        <v>38</v>
      </c>
      <c r="L198" s="50" t="str">
        <f t="shared" si="17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48">
        <f t="shared" si="14"/>
        <v>1.7275409836065574</v>
      </c>
      <c r="J199" s="48" t="str">
        <f t="shared" si="15"/>
        <v>High</v>
      </c>
      <c r="K199" s="49">
        <f t="shared" si="16"/>
        <v>37.5</v>
      </c>
      <c r="L199" s="50" t="str">
        <f t="shared" si="17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48">
        <f t="shared" si="14"/>
        <v>0.26</v>
      </c>
      <c r="J200" s="48" t="str">
        <f t="shared" si="15"/>
        <v>Low</v>
      </c>
      <c r="K200" s="49">
        <f t="shared" si="16"/>
        <v>36.369999999999997</v>
      </c>
      <c r="L200" s="50" t="str">
        <f t="shared" si="17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48">
        <f t="shared" si="14"/>
        <v>0.60444444444444445</v>
      </c>
      <c r="J201" s="48" t="str">
        <f t="shared" si="15"/>
        <v>Medium</v>
      </c>
      <c r="K201" s="49">
        <f t="shared" si="16"/>
        <v>36</v>
      </c>
      <c r="L201" s="50" t="str">
        <f t="shared" si="17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48">
        <f t="shared" si="14"/>
        <v>1.0108620689655172</v>
      </c>
      <c r="J202" s="48" t="str">
        <f t="shared" si="15"/>
        <v>Medium</v>
      </c>
      <c r="K202" s="49">
        <f t="shared" si="16"/>
        <v>35.49</v>
      </c>
      <c r="L202" s="50" t="str">
        <f t="shared" si="17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48">
        <f t="shared" si="14"/>
        <v>1.1105</v>
      </c>
      <c r="J203" s="48" t="str">
        <f t="shared" si="15"/>
        <v>Medium</v>
      </c>
      <c r="K203" s="49">
        <f t="shared" si="16"/>
        <v>35</v>
      </c>
      <c r="L203" s="50" t="str">
        <f t="shared" si="17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48">
        <f t="shared" si="14"/>
        <v>0.50919999999999999</v>
      </c>
      <c r="J204" s="48" t="str">
        <f t="shared" si="15"/>
        <v>Medium</v>
      </c>
      <c r="K204" s="49">
        <f t="shared" si="16"/>
        <v>32</v>
      </c>
      <c r="L204" s="50" t="str">
        <f t="shared" si="17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48">
        <f t="shared" si="14"/>
        <v>1.3374999999999999</v>
      </c>
      <c r="J205" s="48" t="str">
        <f t="shared" si="15"/>
        <v>Medium</v>
      </c>
      <c r="K205" s="49">
        <f t="shared" si="16"/>
        <v>31.49</v>
      </c>
      <c r="L205" s="50" t="str">
        <f t="shared" si="17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48">
        <f t="shared" si="14"/>
        <v>0.35733333333333328</v>
      </c>
      <c r="J206" s="48" t="str">
        <f t="shared" si="15"/>
        <v>Low</v>
      </c>
      <c r="K206" s="49">
        <f t="shared" si="16"/>
        <v>31</v>
      </c>
      <c r="L206" s="50" t="str">
        <f t="shared" si="17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48">
        <f t="shared" si="14"/>
        <v>1.5019047619047619</v>
      </c>
      <c r="J207" s="48" t="str">
        <f t="shared" si="15"/>
        <v>High</v>
      </c>
      <c r="K207" s="49">
        <f t="shared" si="16"/>
        <v>29</v>
      </c>
      <c r="L207" s="50" t="str">
        <f t="shared" si="17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48">
        <f t="shared" si="14"/>
        <v>1.496875</v>
      </c>
      <c r="J208" s="48" t="str">
        <f t="shared" si="15"/>
        <v>Medium</v>
      </c>
      <c r="K208" s="49">
        <f t="shared" si="16"/>
        <v>28</v>
      </c>
      <c r="L208" s="50" t="str">
        <f t="shared" si="17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48">
        <f t="shared" si="14"/>
        <v>0.58627906976744193</v>
      </c>
      <c r="J209" s="48" t="str">
        <f t="shared" si="15"/>
        <v>Medium</v>
      </c>
      <c r="K209" s="49">
        <f t="shared" si="16"/>
        <v>27</v>
      </c>
      <c r="L209" s="50" t="str">
        <f t="shared" si="17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48">
        <f t="shared" si="14"/>
        <v>2.1161956521739129</v>
      </c>
      <c r="J210" s="48" t="str">
        <f t="shared" si="15"/>
        <v>High</v>
      </c>
      <c r="K210" s="49">
        <f t="shared" si="16"/>
        <v>27</v>
      </c>
      <c r="L210" s="50" t="str">
        <f t="shared" si="17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48">
        <f t="shared" si="14"/>
        <v>0.26367021276595742</v>
      </c>
      <c r="J211" s="48" t="str">
        <f t="shared" si="15"/>
        <v>Low</v>
      </c>
      <c r="K211" s="49">
        <f t="shared" si="16"/>
        <v>27</v>
      </c>
      <c r="L211" s="50" t="str">
        <f t="shared" si="17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48">
        <f t="shared" si="14"/>
        <v>0.6348837209302326</v>
      </c>
      <c r="J212" s="48" t="str">
        <f t="shared" si="15"/>
        <v>Medium</v>
      </c>
      <c r="K212" s="49">
        <f t="shared" si="16"/>
        <v>27</v>
      </c>
      <c r="L212" s="50" t="str">
        <f t="shared" si="17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48">
        <f t="shared" si="14"/>
        <v>1.1382142857142858</v>
      </c>
      <c r="J213" s="48" t="str">
        <f t="shared" si="15"/>
        <v>Medium</v>
      </c>
      <c r="K213" s="49">
        <f t="shared" si="16"/>
        <v>26</v>
      </c>
      <c r="L213" s="50" t="str">
        <f t="shared" si="17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48">
        <f t="shared" si="14"/>
        <v>1.94</v>
      </c>
      <c r="J214" s="48" t="str">
        <f t="shared" si="15"/>
        <v>High</v>
      </c>
      <c r="K214" s="49">
        <f t="shared" si="16"/>
        <v>26</v>
      </c>
      <c r="L214" s="50" t="str">
        <f t="shared" si="17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48">
        <f t="shared" si="14"/>
        <v>0.26</v>
      </c>
      <c r="J215" s="48" t="str">
        <f t="shared" si="15"/>
        <v>Low</v>
      </c>
      <c r="K215" s="49">
        <f t="shared" si="16"/>
        <v>25</v>
      </c>
      <c r="L215" s="50" t="str">
        <f t="shared" si="17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48">
        <f t="shared" si="14"/>
        <v>0.71090909090909093</v>
      </c>
      <c r="J216" s="48" t="str">
        <f t="shared" si="15"/>
        <v>Medium</v>
      </c>
      <c r="K216" s="49">
        <f t="shared" si="16"/>
        <v>25</v>
      </c>
      <c r="L216" s="50" t="str">
        <f t="shared" si="17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48">
        <f t="shared" si="14"/>
        <v>0.69818181818181813</v>
      </c>
      <c r="J217" s="48" t="str">
        <f t="shared" si="15"/>
        <v>Medium</v>
      </c>
      <c r="K217" s="49">
        <f t="shared" si="16"/>
        <v>25</v>
      </c>
      <c r="L217" s="50" t="str">
        <f t="shared" si="17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48">
        <f t="shared" si="14"/>
        <v>0.22333333333333333</v>
      </c>
      <c r="J218" s="48" t="str">
        <f t="shared" si="15"/>
        <v>Low</v>
      </c>
      <c r="K218" s="49">
        <f t="shared" si="16"/>
        <v>25</v>
      </c>
      <c r="L218" s="50" t="str">
        <f t="shared" si="17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48">
        <f t="shared" si="14"/>
        <v>1.88</v>
      </c>
      <c r="J219" s="48" t="str">
        <f t="shared" si="15"/>
        <v>High</v>
      </c>
      <c r="K219" s="49">
        <f t="shared" si="16"/>
        <v>24</v>
      </c>
      <c r="L219" s="50" t="str">
        <f t="shared" si="17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48">
        <f t="shared" si="14"/>
        <v>0.23941176470588238</v>
      </c>
      <c r="J220" s="48" t="str">
        <f t="shared" si="15"/>
        <v>Low</v>
      </c>
      <c r="K220" s="49">
        <f t="shared" si="16"/>
        <v>23</v>
      </c>
      <c r="L220" s="50" t="str">
        <f t="shared" si="17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48">
        <f t="shared" si="14"/>
        <v>1.5881818181818181</v>
      </c>
      <c r="J221" s="48" t="str">
        <f t="shared" si="15"/>
        <v>High</v>
      </c>
      <c r="K221" s="49">
        <f t="shared" si="16"/>
        <v>22</v>
      </c>
      <c r="L221" s="50" t="str">
        <f t="shared" si="17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48">
        <f t="shared" si="14"/>
        <v>1.235759493670886</v>
      </c>
      <c r="J222" s="48" t="str">
        <f t="shared" si="15"/>
        <v>Medium</v>
      </c>
      <c r="K222" s="49">
        <f t="shared" si="16"/>
        <v>22</v>
      </c>
      <c r="L222" s="50" t="str">
        <f t="shared" si="17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48">
        <f t="shared" si="14"/>
        <v>1.876829268292683</v>
      </c>
      <c r="J223" s="48" t="str">
        <f t="shared" si="15"/>
        <v>High</v>
      </c>
      <c r="K223" s="49">
        <f t="shared" si="16"/>
        <v>22</v>
      </c>
      <c r="L223" s="50" t="str">
        <f t="shared" si="17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48">
        <f t="shared" si="14"/>
        <v>0.27625</v>
      </c>
      <c r="J224" s="48" t="str">
        <f t="shared" si="15"/>
        <v>Low</v>
      </c>
      <c r="K224" s="49">
        <f t="shared" si="16"/>
        <v>20.99</v>
      </c>
      <c r="L224" s="50" t="str">
        <f t="shared" si="17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48">
        <f t="shared" si="14"/>
        <v>1.3297826086956521</v>
      </c>
      <c r="J225" s="48" t="str">
        <f t="shared" si="15"/>
        <v>Medium</v>
      </c>
      <c r="K225" s="49">
        <f t="shared" si="16"/>
        <v>18.61</v>
      </c>
      <c r="L225" s="50" t="str">
        <f t="shared" si="17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48">
        <f t="shared" si="14"/>
        <v>0.53379310344827591</v>
      </c>
      <c r="J226" s="48" t="str">
        <f t="shared" si="15"/>
        <v>Medium</v>
      </c>
      <c r="K226" s="49">
        <f t="shared" si="16"/>
        <v>18</v>
      </c>
      <c r="L226" s="50" t="str">
        <f t="shared" si="17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48">
        <f t="shared" si="14"/>
        <v>0.86</v>
      </c>
      <c r="J227" s="48" t="str">
        <f t="shared" si="15"/>
        <v>Medium</v>
      </c>
      <c r="K227" s="49">
        <f t="shared" si="16"/>
        <v>18</v>
      </c>
      <c r="L227" s="50" t="str">
        <f t="shared" si="17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48">
        <f t="shared" si="14"/>
        <v>1.2030303030303031</v>
      </c>
      <c r="J228" s="48" t="str">
        <f t="shared" si="15"/>
        <v>Medium</v>
      </c>
      <c r="K228" s="49">
        <f t="shared" si="16"/>
        <v>17.989999999999998</v>
      </c>
      <c r="L228" s="50" t="str">
        <f t="shared" si="17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48">
        <f t="shared" si="14"/>
        <v>1.6205263157894736</v>
      </c>
      <c r="J229" s="48" t="str">
        <f t="shared" si="15"/>
        <v>High</v>
      </c>
      <c r="K229" s="49">
        <f t="shared" si="16"/>
        <v>15.5</v>
      </c>
      <c r="L229" s="50" t="str">
        <f t="shared" si="17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48">
        <f t="shared" si="14"/>
        <v>0.65605263157894733</v>
      </c>
      <c r="J230" s="48" t="str">
        <f t="shared" si="15"/>
        <v>Medium</v>
      </c>
      <c r="K230" s="49">
        <f t="shared" si="16"/>
        <v>15</v>
      </c>
      <c r="L230" s="50" t="str">
        <f t="shared" si="17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48">
        <f t="shared" si="14"/>
        <v>0.76375000000000004</v>
      </c>
      <c r="J231" s="48" t="str">
        <f t="shared" si="15"/>
        <v>Medium</v>
      </c>
      <c r="K231" s="49">
        <f t="shared" si="16"/>
        <v>14</v>
      </c>
      <c r="L231" s="50" t="str">
        <f t="shared" si="17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48">
        <f t="shared" si="14"/>
        <v>0.30333333333333334</v>
      </c>
      <c r="J232" s="48" t="str">
        <f t="shared" si="15"/>
        <v>Low</v>
      </c>
      <c r="K232" s="49">
        <f t="shared" si="16"/>
        <v>12.5</v>
      </c>
      <c r="L232" s="50" t="str">
        <f t="shared" si="17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48">
        <f t="shared" si="14"/>
        <v>0.36036363636363639</v>
      </c>
      <c r="J233" s="48" t="str">
        <f t="shared" si="15"/>
        <v>Low</v>
      </c>
      <c r="K233" s="49">
        <f t="shared" si="16"/>
        <v>11.4</v>
      </c>
      <c r="L233" s="50" t="str">
        <f t="shared" si="17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48">
        <f t="shared" si="14"/>
        <v>0.125</v>
      </c>
      <c r="J234" s="48" t="str">
        <f t="shared" si="15"/>
        <v>Low</v>
      </c>
      <c r="K234" s="49">
        <f t="shared" si="16"/>
        <v>8.5</v>
      </c>
      <c r="L234" s="50" t="str">
        <f t="shared" si="17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48">
        <f t="shared" si="14"/>
        <v>0.20499999999999999</v>
      </c>
      <c r="J235" s="48" t="str">
        <f t="shared" si="15"/>
        <v>Low</v>
      </c>
      <c r="K235" s="49">
        <f t="shared" si="16"/>
        <v>8.5</v>
      </c>
      <c r="L235" s="50" t="str">
        <f t="shared" si="17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48">
        <f t="shared" si="14"/>
        <v>1.889</v>
      </c>
      <c r="J236" s="48" t="str">
        <f t="shared" si="15"/>
        <v>High</v>
      </c>
      <c r="K236" s="49">
        <f t="shared" si="16"/>
        <v>7.97</v>
      </c>
      <c r="L236" s="50" t="str">
        <f t="shared" si="17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48">
        <f t="shared" si="14"/>
        <v>0.5446808510638298</v>
      </c>
      <c r="J237" s="48" t="str">
        <f t="shared" si="15"/>
        <v>Medium</v>
      </c>
      <c r="K237" s="49">
        <f t="shared" si="16"/>
        <v>7.97</v>
      </c>
      <c r="L237" s="50" t="str">
        <f t="shared" si="17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48">
        <f t="shared" si="14"/>
        <v>0.35483870967741937</v>
      </c>
      <c r="J238" s="48" t="str">
        <f t="shared" si="15"/>
        <v>Low</v>
      </c>
      <c r="K238" s="49">
        <f t="shared" si="16"/>
        <v>7.8</v>
      </c>
      <c r="L238" s="50" t="str">
        <f t="shared" si="17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48">
        <f t="shared" si="14"/>
        <v>1.7185185185185186</v>
      </c>
      <c r="J239" s="48" t="str">
        <f t="shared" si="15"/>
        <v>High</v>
      </c>
      <c r="K239" s="49">
        <f t="shared" si="16"/>
        <v>5.99</v>
      </c>
      <c r="L239" s="50" t="str">
        <f t="shared" si="17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48">
        <f t="shared" si="14"/>
        <v>0.29499999999999998</v>
      </c>
      <c r="J240" s="48" t="str">
        <f t="shared" si="15"/>
        <v>Low</v>
      </c>
      <c r="K240" s="49" t="str">
        <f t="shared" si="16"/>
        <v/>
      </c>
      <c r="L240" s="50" t="str">
        <f t="shared" si="17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48">
        <f t="shared" si="14"/>
        <v>0.996</v>
      </c>
      <c r="J241" s="48" t="str">
        <f t="shared" si="15"/>
        <v>Medium</v>
      </c>
      <c r="K241" s="49" t="str">
        <f t="shared" si="16"/>
        <v/>
      </c>
      <c r="L241" s="50" t="str">
        <f t="shared" si="17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48">
        <f t="shared" si="14"/>
        <v>0.10777777777777778</v>
      </c>
      <c r="J242" s="48" t="str">
        <f t="shared" si="15"/>
        <v>Low</v>
      </c>
      <c r="K242" s="49" t="str">
        <f t="shared" si="16"/>
        <v/>
      </c>
      <c r="L242" s="50" t="str">
        <f t="shared" si="17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48">
        <f t="shared" si="14"/>
        <v>0.28900000000000003</v>
      </c>
      <c r="J243" s="48" t="str">
        <f t="shared" si="15"/>
        <v>Low</v>
      </c>
      <c r="K243" s="49" t="str">
        <f t="shared" si="16"/>
        <v/>
      </c>
      <c r="L243" s="50" t="str">
        <f t="shared" si="17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48">
        <f t="shared" si="14"/>
        <v>2.335294117647059</v>
      </c>
      <c r="J244" s="48" t="str">
        <f t="shared" si="15"/>
        <v>High</v>
      </c>
      <c r="K244" s="49" t="str">
        <f t="shared" si="16"/>
        <v/>
      </c>
      <c r="L244" s="50" t="str">
        <f t="shared" si="17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48">
        <f t="shared" si="14"/>
        <v>0.25</v>
      </c>
      <c r="J245" s="48" t="str">
        <f t="shared" si="15"/>
        <v>Low</v>
      </c>
      <c r="K245" s="49" t="str">
        <f t="shared" si="16"/>
        <v/>
      </c>
      <c r="L245" s="50" t="str">
        <f t="shared" si="17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48">
        <f t="shared" si="14"/>
        <v>1.1839999999999999</v>
      </c>
      <c r="J246" s="48" t="str">
        <f t="shared" si="15"/>
        <v>Medium</v>
      </c>
      <c r="K246" s="49" t="str">
        <f t="shared" si="16"/>
        <v/>
      </c>
      <c r="L246" s="50" t="str">
        <f t="shared" si="17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48">
        <f t="shared" si="14"/>
        <v>0.23724137931034484</v>
      </c>
      <c r="J247" s="48" t="str">
        <f t="shared" si="15"/>
        <v>Low</v>
      </c>
      <c r="K247" s="49" t="str">
        <f t="shared" si="16"/>
        <v/>
      </c>
      <c r="L247" s="50" t="str">
        <f t="shared" si="17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48">
        <f t="shared" si="14"/>
        <v>0.32846153846153842</v>
      </c>
      <c r="J248" s="48" t="str">
        <f t="shared" si="15"/>
        <v>Low</v>
      </c>
      <c r="K248" s="49" t="str">
        <f t="shared" si="16"/>
        <v/>
      </c>
      <c r="L248" s="50" t="str">
        <f t="shared" si="17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48">
        <f t="shared" si="14"/>
        <v>1.2733333333333332</v>
      </c>
      <c r="J249" s="48" t="str">
        <f t="shared" si="15"/>
        <v>Medium</v>
      </c>
      <c r="K249" s="49" t="str">
        <f t="shared" si="16"/>
        <v/>
      </c>
      <c r="L249" s="50" t="str">
        <f t="shared" si="17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48">
        <f t="shared" si="14"/>
        <v>0.23272727272727273</v>
      </c>
      <c r="J250" s="48" t="str">
        <f t="shared" si="15"/>
        <v>Low</v>
      </c>
      <c r="K250" s="49" t="str">
        <f t="shared" si="16"/>
        <v/>
      </c>
      <c r="L250" s="50" t="str">
        <f t="shared" si="17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48">
        <f t="shared" si="14"/>
        <v>1.1130434782608696</v>
      </c>
      <c r="J251" s="48" t="str">
        <f t="shared" si="15"/>
        <v>Medium</v>
      </c>
      <c r="K251" s="49" t="str">
        <f t="shared" si="16"/>
        <v/>
      </c>
      <c r="L251" s="50" t="str">
        <f t="shared" si="17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48">
        <f t="shared" si="14"/>
        <v>0.73565217391304361</v>
      </c>
      <c r="J252" s="48" t="str">
        <f t="shared" si="15"/>
        <v>Medium</v>
      </c>
      <c r="K252" s="49" t="str">
        <f t="shared" si="16"/>
        <v/>
      </c>
      <c r="L252" s="50" t="str">
        <f t="shared" si="17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48">
        <f t="shared" si="14"/>
        <v>1.8090909090909089</v>
      </c>
      <c r="J253" s="48" t="str">
        <f t="shared" si="15"/>
        <v>High</v>
      </c>
      <c r="K253" s="49" t="str">
        <f t="shared" si="16"/>
        <v/>
      </c>
      <c r="L253" s="50" t="str">
        <f t="shared" si="17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48">
        <f t="shared" si="14"/>
        <v>1.288</v>
      </c>
      <c r="J254" s="48" t="str">
        <f t="shared" si="15"/>
        <v>Medium</v>
      </c>
      <c r="K254" s="49" t="str">
        <f t="shared" si="16"/>
        <v/>
      </c>
      <c r="L254" s="50" t="str">
        <f t="shared" si="17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48" t="str">
        <f t="shared" si="14"/>
        <v/>
      </c>
      <c r="J255" s="48" t="str">
        <f t="shared" si="15"/>
        <v>Untested</v>
      </c>
      <c r="K255" s="49" t="str">
        <f t="shared" si="16"/>
        <v/>
      </c>
      <c r="L255" s="50" t="str">
        <f t="shared" si="17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48">
        <f t="shared" si="14"/>
        <v>1.4375</v>
      </c>
      <c r="J256" s="48" t="str">
        <f t="shared" si="15"/>
        <v>Medium</v>
      </c>
      <c r="K256" s="49" t="str">
        <f t="shared" si="16"/>
        <v/>
      </c>
      <c r="L256" s="50" t="str">
        <f t="shared" si="17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48">
        <f t="shared" si="14"/>
        <v>0.56214285714285717</v>
      </c>
      <c r="J257" s="48" t="str">
        <f t="shared" si="15"/>
        <v>Medium</v>
      </c>
      <c r="K257" s="49" t="str">
        <f t="shared" si="16"/>
        <v/>
      </c>
      <c r="L257" s="50" t="str">
        <f t="shared" si="17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48">
        <f t="shared" si="14"/>
        <v>0.505</v>
      </c>
      <c r="J258" s="48" t="str">
        <f t="shared" si="15"/>
        <v>Medium</v>
      </c>
      <c r="K258" s="49" t="str">
        <f t="shared" si="16"/>
        <v/>
      </c>
      <c r="L258" s="50" t="str">
        <f t="shared" si="17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48">
        <f t="shared" ref="I259:I322" si="18">IF(E259&gt;0,H259/E259,"")</f>
        <v>1.2419047619047618</v>
      </c>
      <c r="J259" s="48" t="str">
        <f t="shared" ref="J259:J322" si="19">IF(ISNUMBER(I259),IF(I259&lt;=0.5,"Low",IF(I259&lt;=1.5,"Medium","High")),"Untested")</f>
        <v>Medium</v>
      </c>
      <c r="K259" s="49" t="str">
        <f t="shared" ref="K259:K322" si="20">IF(G259&gt;0,G259/F259,"")</f>
        <v/>
      </c>
      <c r="L259" s="50" t="str">
        <f t="shared" ref="L259:L322" si="21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48">
        <f t="shared" si="18"/>
        <v>0.8833333333333333</v>
      </c>
      <c r="J260" s="48" t="str">
        <f t="shared" si="19"/>
        <v>Medium</v>
      </c>
      <c r="K260" s="49" t="str">
        <f t="shared" si="20"/>
        <v/>
      </c>
      <c r="L260" s="50" t="str">
        <f t="shared" si="21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48">
        <f t="shared" si="18"/>
        <v>0.39500000000000002</v>
      </c>
      <c r="J261" s="48" t="str">
        <f t="shared" si="19"/>
        <v>Low</v>
      </c>
      <c r="K261" s="49" t="str">
        <f t="shared" si="20"/>
        <v/>
      </c>
      <c r="L261" s="50" t="str">
        <f t="shared" si="21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48">
        <f t="shared" si="18"/>
        <v>0.36215827338129497</v>
      </c>
      <c r="J262" s="48" t="str">
        <f t="shared" si="19"/>
        <v>Low</v>
      </c>
      <c r="K262" s="49" t="str">
        <f t="shared" si="20"/>
        <v/>
      </c>
      <c r="L262" s="50" t="str">
        <f t="shared" si="21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48">
        <f t="shared" si="18"/>
        <v>0.17461538461538462</v>
      </c>
      <c r="J263" s="48" t="str">
        <f t="shared" si="19"/>
        <v>Low</v>
      </c>
      <c r="K263" s="49" t="str">
        <f t="shared" si="20"/>
        <v/>
      </c>
      <c r="L263" s="50" t="str">
        <f t="shared" si="21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48">
        <f t="shared" si="18"/>
        <v>1.4454901960784314</v>
      </c>
      <c r="J264" s="48" t="str">
        <f t="shared" si="19"/>
        <v>Medium</v>
      </c>
      <c r="K264" s="49" t="str">
        <f t="shared" si="20"/>
        <v/>
      </c>
      <c r="L264" s="50" t="str">
        <f t="shared" si="21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48">
        <f t="shared" si="18"/>
        <v>1.1196363636363635</v>
      </c>
      <c r="J265" s="48" t="str">
        <f t="shared" si="19"/>
        <v>Medium</v>
      </c>
      <c r="K265" s="49" t="str">
        <f t="shared" si="20"/>
        <v/>
      </c>
      <c r="L265" s="50" t="str">
        <f t="shared" si="21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48" t="str">
        <f t="shared" si="18"/>
        <v/>
      </c>
      <c r="J266" s="48" t="str">
        <f t="shared" si="19"/>
        <v>Untested</v>
      </c>
      <c r="K266" s="49" t="str">
        <f t="shared" si="20"/>
        <v/>
      </c>
      <c r="L266" s="50" t="str">
        <f t="shared" si="21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48">
        <f t="shared" si="18"/>
        <v>0.26857142857142857</v>
      </c>
      <c r="J267" s="48" t="str">
        <f t="shared" si="19"/>
        <v>Low</v>
      </c>
      <c r="K267" s="49" t="str">
        <f t="shared" si="20"/>
        <v/>
      </c>
      <c r="L267" s="50" t="str">
        <f t="shared" si="21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48">
        <f t="shared" si="18"/>
        <v>3.4266666666666663</v>
      </c>
      <c r="J268" s="48" t="str">
        <f t="shared" si="19"/>
        <v>High</v>
      </c>
      <c r="K268" s="49" t="str">
        <f t="shared" si="20"/>
        <v/>
      </c>
      <c r="L268" s="50" t="str">
        <f t="shared" si="21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48">
        <f t="shared" si="18"/>
        <v>2.0552631578947369</v>
      </c>
      <c r="J269" s="48" t="str">
        <f t="shared" si="19"/>
        <v>High</v>
      </c>
      <c r="K269" s="49" t="str">
        <f t="shared" si="20"/>
        <v/>
      </c>
      <c r="L269" s="50" t="str">
        <f t="shared" si="21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48">
        <f t="shared" si="18"/>
        <v>0.11176470588235293</v>
      </c>
      <c r="J270" s="48" t="str">
        <f t="shared" si="19"/>
        <v>Low</v>
      </c>
      <c r="K270" s="49" t="str">
        <f t="shared" si="20"/>
        <v/>
      </c>
      <c r="L270" s="50" t="str">
        <f t="shared" si="21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48">
        <f t="shared" si="18"/>
        <v>0.19125</v>
      </c>
      <c r="J271" s="48" t="str">
        <f t="shared" si="19"/>
        <v>Low</v>
      </c>
      <c r="K271" s="49" t="str">
        <f t="shared" si="20"/>
        <v/>
      </c>
      <c r="L271" s="50" t="str">
        <f t="shared" si="21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48">
        <f t="shared" si="18"/>
        <v>0.40977272727272729</v>
      </c>
      <c r="J272" s="48" t="str">
        <f t="shared" si="19"/>
        <v>Low</v>
      </c>
      <c r="K272" s="49" t="str">
        <f t="shared" si="20"/>
        <v/>
      </c>
      <c r="L272" s="50" t="str">
        <f t="shared" si="21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48">
        <f t="shared" si="18"/>
        <v>0.29623655913978497</v>
      </c>
      <c r="J273" s="48" t="str">
        <f t="shared" si="19"/>
        <v>Low</v>
      </c>
      <c r="K273" s="49" t="str">
        <f t="shared" si="20"/>
        <v/>
      </c>
      <c r="L273" s="50" t="str">
        <f t="shared" si="21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48">
        <f t="shared" si="18"/>
        <v>2.6428571428571428</v>
      </c>
      <c r="J274" s="48" t="str">
        <f t="shared" si="19"/>
        <v>High</v>
      </c>
      <c r="K274" s="49" t="str">
        <f t="shared" si="20"/>
        <v/>
      </c>
      <c r="L274" s="50" t="str">
        <f t="shared" si="21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48">
        <f t="shared" si="18"/>
        <v>1.4905555555555554</v>
      </c>
      <c r="J275" s="48" t="str">
        <f t="shared" si="19"/>
        <v>Medium</v>
      </c>
      <c r="K275" s="49" t="str">
        <f t="shared" si="20"/>
        <v/>
      </c>
      <c r="L275" s="50" t="str">
        <f t="shared" si="21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48">
        <f t="shared" si="18"/>
        <v>1.4166666666666667</v>
      </c>
      <c r="J276" s="48" t="str">
        <f t="shared" si="19"/>
        <v>Medium</v>
      </c>
      <c r="K276" s="49" t="str">
        <f t="shared" si="20"/>
        <v/>
      </c>
      <c r="L276" s="50" t="str">
        <f t="shared" si="21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48">
        <f t="shared" si="18"/>
        <v>0.76</v>
      </c>
      <c r="J277" s="48" t="str">
        <f t="shared" si="19"/>
        <v>Medium</v>
      </c>
      <c r="K277" s="49" t="str">
        <f t="shared" si="20"/>
        <v/>
      </c>
      <c r="L277" s="50" t="str">
        <f t="shared" si="21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48">
        <f t="shared" si="18"/>
        <v>1.6833333333333333</v>
      </c>
      <c r="J278" s="48" t="str">
        <f t="shared" si="19"/>
        <v>High</v>
      </c>
      <c r="K278" s="49" t="str">
        <f t="shared" si="20"/>
        <v/>
      </c>
      <c r="L278" s="50" t="str">
        <f t="shared" si="21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48">
        <f t="shared" si="18"/>
        <v>0.77217391304347838</v>
      </c>
      <c r="J279" s="48" t="str">
        <f t="shared" si="19"/>
        <v>Medium</v>
      </c>
      <c r="K279" s="49" t="str">
        <f t="shared" si="20"/>
        <v/>
      </c>
      <c r="L279" s="50" t="str">
        <f t="shared" si="21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48">
        <f t="shared" si="18"/>
        <v>1.0633333333333332</v>
      </c>
      <c r="J280" s="48" t="str">
        <f t="shared" si="19"/>
        <v>Medium</v>
      </c>
      <c r="K280" s="49" t="str">
        <f t="shared" si="20"/>
        <v/>
      </c>
      <c r="L280" s="50" t="str">
        <f t="shared" si="21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48">
        <f t="shared" si="18"/>
        <v>1.9117829457364341</v>
      </c>
      <c r="J281" s="48" t="str">
        <f t="shared" si="19"/>
        <v>High</v>
      </c>
      <c r="K281" s="49" t="str">
        <f t="shared" si="20"/>
        <v/>
      </c>
      <c r="L281" s="50" t="str">
        <f t="shared" si="21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48">
        <f t="shared" si="18"/>
        <v>1.5616666666666665</v>
      </c>
      <c r="J282" s="48" t="str">
        <f t="shared" si="19"/>
        <v>High</v>
      </c>
      <c r="K282" s="49" t="str">
        <f t="shared" si="20"/>
        <v/>
      </c>
      <c r="L282" s="50" t="str">
        <f t="shared" si="21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48">
        <f t="shared" si="18"/>
        <v>1.145945945945946</v>
      </c>
      <c r="J283" s="48" t="str">
        <f t="shared" si="19"/>
        <v>Medium</v>
      </c>
      <c r="K283" s="49" t="str">
        <f t="shared" si="20"/>
        <v/>
      </c>
      <c r="L283" s="50" t="str">
        <f t="shared" si="21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48">
        <f t="shared" si="18"/>
        <v>1.0873170731707316</v>
      </c>
      <c r="J284" s="48" t="str">
        <f t="shared" si="19"/>
        <v>Medium</v>
      </c>
      <c r="K284" s="49" t="str">
        <f t="shared" si="20"/>
        <v/>
      </c>
      <c r="L284" s="50" t="str">
        <f t="shared" si="21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48">
        <f t="shared" si="18"/>
        <v>0.84962616822429904</v>
      </c>
      <c r="J285" s="48" t="str">
        <f t="shared" si="19"/>
        <v>Medium</v>
      </c>
      <c r="K285" s="49" t="str">
        <f t="shared" si="20"/>
        <v/>
      </c>
      <c r="L285" s="50" t="str">
        <f t="shared" si="21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48">
        <f t="shared" si="18"/>
        <v>2.5805128205128205</v>
      </c>
      <c r="J286" s="48" t="str">
        <f t="shared" si="19"/>
        <v>High</v>
      </c>
      <c r="K286" s="49" t="str">
        <f t="shared" si="20"/>
        <v/>
      </c>
      <c r="L286" s="50" t="str">
        <f t="shared" si="21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48">
        <f t="shared" si="18"/>
        <v>1.8260000000000001</v>
      </c>
      <c r="J287" s="48" t="str">
        <f t="shared" si="19"/>
        <v>High</v>
      </c>
      <c r="K287" s="49" t="str">
        <f t="shared" si="20"/>
        <v/>
      </c>
      <c r="L287" s="50" t="str">
        <f t="shared" si="21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48">
        <f t="shared" si="18"/>
        <v>0.50437500000000002</v>
      </c>
      <c r="J288" s="48" t="str">
        <f t="shared" si="19"/>
        <v>Medium</v>
      </c>
      <c r="K288" s="49" t="str">
        <f t="shared" si="20"/>
        <v/>
      </c>
      <c r="L288" s="50" t="str">
        <f t="shared" si="21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48">
        <f t="shared" si="18"/>
        <v>0.78797297297297297</v>
      </c>
      <c r="J289" s="48" t="str">
        <f t="shared" si="19"/>
        <v>Medium</v>
      </c>
      <c r="K289" s="49" t="str">
        <f t="shared" si="20"/>
        <v/>
      </c>
      <c r="L289" s="50" t="str">
        <f t="shared" si="21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48">
        <f t="shared" si="18"/>
        <v>1.1526086956521739</v>
      </c>
      <c r="J290" s="48" t="str">
        <f t="shared" si="19"/>
        <v>Medium</v>
      </c>
      <c r="K290" s="49" t="str">
        <f t="shared" si="20"/>
        <v/>
      </c>
      <c r="L290" s="50" t="str">
        <f t="shared" si="21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48">
        <f t="shared" si="18"/>
        <v>0.72530120481927718</v>
      </c>
      <c r="J291" s="48" t="str">
        <f t="shared" si="19"/>
        <v>Medium</v>
      </c>
      <c r="K291" s="49" t="str">
        <f t="shared" si="20"/>
        <v/>
      </c>
      <c r="L291" s="50" t="str">
        <f t="shared" si="21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48">
        <f t="shared" si="18"/>
        <v>2.0161538461538462</v>
      </c>
      <c r="J292" s="48" t="str">
        <f t="shared" si="19"/>
        <v>High</v>
      </c>
      <c r="K292" s="49" t="str">
        <f t="shared" si="20"/>
        <v/>
      </c>
      <c r="L292" s="50" t="str">
        <f t="shared" si="21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48">
        <f t="shared" si="18"/>
        <v>1.3407317073170733</v>
      </c>
      <c r="J293" s="48" t="str">
        <f t="shared" si="19"/>
        <v>Medium</v>
      </c>
      <c r="K293" s="49" t="str">
        <f t="shared" si="20"/>
        <v/>
      </c>
      <c r="L293" s="50" t="str">
        <f t="shared" si="21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48">
        <f t="shared" si="18"/>
        <v>3.028888888888889</v>
      </c>
      <c r="J294" s="48" t="str">
        <f t="shared" si="19"/>
        <v>High</v>
      </c>
      <c r="K294" s="49" t="str">
        <f t="shared" si="20"/>
        <v/>
      </c>
      <c r="L294" s="50" t="str">
        <f t="shared" si="21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48">
        <f t="shared" si="18"/>
        <v>1.3794999999999999</v>
      </c>
      <c r="J295" s="48" t="str">
        <f t="shared" si="19"/>
        <v>Medium</v>
      </c>
      <c r="K295" s="49" t="str">
        <f t="shared" si="20"/>
        <v/>
      </c>
      <c r="L295" s="50" t="str">
        <f t="shared" si="21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48">
        <f t="shared" si="18"/>
        <v>1.2433333333333334</v>
      </c>
      <c r="J296" s="48" t="str">
        <f t="shared" si="19"/>
        <v>Medium</v>
      </c>
      <c r="K296" s="49" t="str">
        <f t="shared" si="20"/>
        <v/>
      </c>
      <c r="L296" s="50" t="str">
        <f t="shared" si="21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48">
        <f t="shared" si="18"/>
        <v>1.1523076923076923</v>
      </c>
      <c r="J297" s="48" t="str">
        <f t="shared" si="19"/>
        <v>Medium</v>
      </c>
      <c r="K297" s="49" t="str">
        <f t="shared" si="20"/>
        <v/>
      </c>
      <c r="L297" s="50" t="str">
        <f t="shared" si="21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48">
        <f t="shared" si="18"/>
        <v>1.9771428571428571</v>
      </c>
      <c r="J298" s="48" t="str">
        <f t="shared" si="19"/>
        <v>High</v>
      </c>
      <c r="K298" s="49" t="str">
        <f t="shared" si="20"/>
        <v/>
      </c>
      <c r="L298" s="50" t="str">
        <f t="shared" si="21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48">
        <f t="shared" si="18"/>
        <v>1.3828571428571428</v>
      </c>
      <c r="J299" s="48" t="str">
        <f t="shared" si="19"/>
        <v>Medium</v>
      </c>
      <c r="K299" s="49" t="str">
        <f t="shared" si="20"/>
        <v/>
      </c>
      <c r="L299" s="50" t="str">
        <f t="shared" si="21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48">
        <f t="shared" si="18"/>
        <v>0.59560747663551394</v>
      </c>
      <c r="J300" s="48" t="str">
        <f t="shared" si="19"/>
        <v>Medium</v>
      </c>
      <c r="K300" s="49" t="str">
        <f t="shared" si="20"/>
        <v/>
      </c>
      <c r="L300" s="50" t="str">
        <f t="shared" si="21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48">
        <f t="shared" si="18"/>
        <v>0.81333333333333335</v>
      </c>
      <c r="J301" s="48" t="str">
        <f t="shared" si="19"/>
        <v>Medium</v>
      </c>
      <c r="K301" s="49" t="str">
        <f t="shared" si="20"/>
        <v/>
      </c>
      <c r="L301" s="50" t="str">
        <f t="shared" si="21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48">
        <f t="shared" si="18"/>
        <v>1.0953846153846154</v>
      </c>
      <c r="J302" s="48" t="str">
        <f t="shared" si="19"/>
        <v>Medium</v>
      </c>
      <c r="K302" s="49" t="str">
        <f t="shared" si="20"/>
        <v/>
      </c>
      <c r="L302" s="50" t="str">
        <f t="shared" si="21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48">
        <f t="shared" si="18"/>
        <v>1.1833333333333333</v>
      </c>
      <c r="J303" s="48" t="str">
        <f t="shared" si="19"/>
        <v>Medium</v>
      </c>
      <c r="K303" s="49" t="str">
        <f t="shared" si="20"/>
        <v/>
      </c>
      <c r="L303" s="50" t="str">
        <f t="shared" si="21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48">
        <f t="shared" si="18"/>
        <v>1.8440000000000001</v>
      </c>
      <c r="J304" s="48" t="str">
        <f t="shared" si="19"/>
        <v>High</v>
      </c>
      <c r="K304" s="49" t="str">
        <f t="shared" si="20"/>
        <v/>
      </c>
      <c r="L304" s="50" t="str">
        <f t="shared" si="21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48">
        <f t="shared" si="18"/>
        <v>1.8682417582417581</v>
      </c>
      <c r="J305" s="48" t="str">
        <f t="shared" si="19"/>
        <v>High</v>
      </c>
      <c r="K305" s="49" t="str">
        <f t="shared" si="20"/>
        <v/>
      </c>
      <c r="L305" s="50" t="str">
        <f t="shared" si="21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48">
        <f t="shared" si="18"/>
        <v>3.605</v>
      </c>
      <c r="J306" s="48" t="str">
        <f t="shared" si="19"/>
        <v>High</v>
      </c>
      <c r="K306" s="49" t="str">
        <f t="shared" si="20"/>
        <v/>
      </c>
      <c r="L306" s="50" t="str">
        <f t="shared" si="21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48">
        <f t="shared" si="18"/>
        <v>1.2671428571428571</v>
      </c>
      <c r="J307" s="48" t="str">
        <f t="shared" si="19"/>
        <v>Medium</v>
      </c>
      <c r="K307" s="49" t="str">
        <f t="shared" si="20"/>
        <v/>
      </c>
      <c r="L307" s="50" t="str">
        <f t="shared" si="21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48">
        <f t="shared" si="18"/>
        <v>1.6072413793103448</v>
      </c>
      <c r="J308" s="48" t="str">
        <f t="shared" si="19"/>
        <v>High</v>
      </c>
      <c r="K308" s="49" t="str">
        <f t="shared" si="20"/>
        <v/>
      </c>
      <c r="L308" s="50" t="str">
        <f t="shared" si="21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48">
        <f t="shared" si="18"/>
        <v>0.55400000000000005</v>
      </c>
      <c r="J309" s="48" t="str">
        <f t="shared" si="19"/>
        <v>Medium</v>
      </c>
      <c r="K309" s="49" t="str">
        <f t="shared" si="20"/>
        <v/>
      </c>
      <c r="L309" s="50" t="str">
        <f t="shared" si="21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48">
        <f t="shared" si="18"/>
        <v>0.90956521739130447</v>
      </c>
      <c r="J310" s="48" t="str">
        <f t="shared" si="19"/>
        <v>Medium</v>
      </c>
      <c r="K310" s="49" t="str">
        <f t="shared" si="20"/>
        <v/>
      </c>
      <c r="L310" s="50" t="str">
        <f t="shared" si="21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48">
        <f t="shared" si="18"/>
        <v>0.76500000000000001</v>
      </c>
      <c r="J311" s="48" t="str">
        <f t="shared" si="19"/>
        <v>Medium</v>
      </c>
      <c r="K311" s="49" t="str">
        <f t="shared" si="20"/>
        <v/>
      </c>
      <c r="L311" s="50" t="str">
        <f t="shared" si="21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48">
        <f t="shared" si="18"/>
        <v>0.65810810810810816</v>
      </c>
      <c r="J312" s="48" t="str">
        <f t="shared" si="19"/>
        <v>Medium</v>
      </c>
      <c r="K312" s="49" t="str">
        <f t="shared" si="20"/>
        <v/>
      </c>
      <c r="L312" s="50" t="str">
        <f t="shared" si="21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48">
        <f t="shared" si="18"/>
        <v>2.1614285714285715</v>
      </c>
      <c r="J313" s="48" t="str">
        <f t="shared" si="19"/>
        <v>High</v>
      </c>
      <c r="K313" s="49" t="str">
        <f t="shared" si="20"/>
        <v/>
      </c>
      <c r="L313" s="50" t="str">
        <f t="shared" si="21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48">
        <f t="shared" si="18"/>
        <v>0.79571428571428571</v>
      </c>
      <c r="J314" s="48" t="str">
        <f t="shared" si="19"/>
        <v>Medium</v>
      </c>
      <c r="K314" s="49" t="str">
        <f t="shared" si="20"/>
        <v/>
      </c>
      <c r="L314" s="50" t="str">
        <f t="shared" si="21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48">
        <f t="shared" si="18"/>
        <v>1.02</v>
      </c>
      <c r="J315" s="48" t="str">
        <f t="shared" si="19"/>
        <v>Medium</v>
      </c>
      <c r="K315" s="49" t="str">
        <f t="shared" si="20"/>
        <v/>
      </c>
      <c r="L315" s="50" t="str">
        <f t="shared" si="21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48">
        <f t="shared" si="18"/>
        <v>1.27</v>
      </c>
      <c r="J316" s="48" t="str">
        <f t="shared" si="19"/>
        <v>Medium</v>
      </c>
      <c r="K316" s="49" t="str">
        <f t="shared" si="20"/>
        <v/>
      </c>
      <c r="L316" s="50" t="str">
        <f t="shared" si="21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48">
        <f t="shared" si="18"/>
        <v>1.2095652173913043</v>
      </c>
      <c r="J317" s="48" t="str">
        <f t="shared" si="19"/>
        <v>Medium</v>
      </c>
      <c r="K317" s="49" t="str">
        <f t="shared" si="20"/>
        <v/>
      </c>
      <c r="L317" s="50" t="str">
        <f t="shared" si="21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48">
        <f t="shared" si="18"/>
        <v>1.4975000000000001</v>
      </c>
      <c r="J318" s="48" t="str">
        <f t="shared" si="19"/>
        <v>Medium</v>
      </c>
      <c r="K318" s="49" t="str">
        <f t="shared" si="20"/>
        <v/>
      </c>
      <c r="L318" s="50" t="str">
        <f t="shared" si="21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48">
        <f t="shared" si="18"/>
        <v>2.5133846153846156</v>
      </c>
      <c r="J319" s="48" t="str">
        <f t="shared" si="19"/>
        <v>High</v>
      </c>
      <c r="K319" s="49" t="str">
        <f t="shared" si="20"/>
        <v/>
      </c>
      <c r="L319" s="50" t="str">
        <f t="shared" si="21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48">
        <f t="shared" si="18"/>
        <v>1.380940170940171</v>
      </c>
      <c r="J320" s="48" t="str">
        <f t="shared" si="19"/>
        <v>Medium</v>
      </c>
      <c r="K320" s="49" t="str">
        <f t="shared" si="20"/>
        <v/>
      </c>
      <c r="L320" s="50" t="str">
        <f t="shared" si="21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48">
        <f t="shared" si="18"/>
        <v>0.53583333333333327</v>
      </c>
      <c r="J321" s="48" t="str">
        <f t="shared" si="19"/>
        <v>Medium</v>
      </c>
      <c r="K321" s="49" t="str">
        <f t="shared" si="20"/>
        <v/>
      </c>
      <c r="L321" s="50" t="str">
        <f t="shared" si="21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48">
        <f t="shared" si="18"/>
        <v>3.0050000000000003</v>
      </c>
      <c r="J322" s="48" t="str">
        <f t="shared" si="19"/>
        <v>High</v>
      </c>
      <c r="K322" s="49" t="str">
        <f t="shared" si="20"/>
        <v/>
      </c>
      <c r="L322" s="50" t="str">
        <f t="shared" si="21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48">
        <f t="shared" ref="I323:I381" si="22">IF(E323&gt;0,H323/E323,"")</f>
        <v>1.344642857142857</v>
      </c>
      <c r="J323" s="48" t="str">
        <f t="shared" ref="J323:J381" si="23">IF(ISNUMBER(I323),IF(I323&lt;=0.5,"Low",IF(I323&lt;=1.5,"Medium","High")),"Untested")</f>
        <v>Medium</v>
      </c>
      <c r="K323" s="49" t="str">
        <f t="shared" ref="K323:K381" si="24">IF(G323&gt;0,G323/F323,"")</f>
        <v/>
      </c>
      <c r="L323" s="50" t="str">
        <f t="shared" ref="L323:L381" si="25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48">
        <f t="shared" si="22"/>
        <v>0.43551724137931036</v>
      </c>
      <c r="J324" s="48" t="str">
        <f t="shared" si="23"/>
        <v>Low</v>
      </c>
      <c r="K324" s="49" t="str">
        <f t="shared" si="24"/>
        <v/>
      </c>
      <c r="L324" s="50" t="str">
        <f t="shared" si="25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48" t="str">
        <f t="shared" si="22"/>
        <v/>
      </c>
      <c r="J325" s="48" t="str">
        <f t="shared" si="23"/>
        <v>Untested</v>
      </c>
      <c r="K325" s="49" t="str">
        <f t="shared" si="24"/>
        <v/>
      </c>
      <c r="L325" s="50" t="str">
        <f t="shared" si="25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48">
        <f t="shared" si="22"/>
        <v>1.108888888888889</v>
      </c>
      <c r="J326" s="48" t="str">
        <f t="shared" si="23"/>
        <v>Medium</v>
      </c>
      <c r="K326" s="49" t="str">
        <f t="shared" si="24"/>
        <v/>
      </c>
      <c r="L326" s="50" t="str">
        <f t="shared" si="25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48">
        <f t="shared" si="22"/>
        <v>0.71</v>
      </c>
      <c r="J327" s="48" t="str">
        <f t="shared" si="23"/>
        <v>Medium</v>
      </c>
      <c r="K327" s="49" t="str">
        <f t="shared" si="24"/>
        <v/>
      </c>
      <c r="L327" s="50" t="str">
        <f t="shared" si="25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48">
        <f t="shared" si="22"/>
        <v>0.97173913043478266</v>
      </c>
      <c r="J328" s="48" t="str">
        <f t="shared" si="23"/>
        <v>Medium</v>
      </c>
      <c r="K328" s="49" t="str">
        <f t="shared" si="24"/>
        <v/>
      </c>
      <c r="L328" s="50" t="str">
        <f t="shared" si="25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48">
        <f t="shared" si="22"/>
        <v>0.87142857142857133</v>
      </c>
      <c r="J329" s="48" t="str">
        <f t="shared" si="23"/>
        <v>Medium</v>
      </c>
      <c r="K329" s="49" t="str">
        <f t="shared" si="24"/>
        <v/>
      </c>
      <c r="L329" s="50" t="str">
        <f t="shared" si="25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48">
        <f t="shared" si="22"/>
        <v>4.1219999999999999</v>
      </c>
      <c r="J330" s="48" t="str">
        <f t="shared" si="23"/>
        <v>High</v>
      </c>
      <c r="K330" s="49" t="str">
        <f t="shared" si="24"/>
        <v/>
      </c>
      <c r="L330" s="50" t="str">
        <f t="shared" si="25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48">
        <f t="shared" si="22"/>
        <v>0.86</v>
      </c>
      <c r="J331" s="48" t="str">
        <f t="shared" si="23"/>
        <v>Medium</v>
      </c>
      <c r="K331" s="49" t="str">
        <f t="shared" si="24"/>
        <v/>
      </c>
      <c r="L331" s="50" t="str">
        <f t="shared" si="25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48">
        <f t="shared" si="22"/>
        <v>0.72600000000000009</v>
      </c>
      <c r="J332" s="48" t="str">
        <f t="shared" si="23"/>
        <v>Medium</v>
      </c>
      <c r="K332" s="49" t="str">
        <f t="shared" si="24"/>
        <v/>
      </c>
      <c r="L332" s="50" t="str">
        <f t="shared" si="25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48">
        <f t="shared" si="22"/>
        <v>1.2510000000000001</v>
      </c>
      <c r="J333" s="48" t="str">
        <f t="shared" si="23"/>
        <v>Medium</v>
      </c>
      <c r="K333" s="49" t="str">
        <f t="shared" si="24"/>
        <v/>
      </c>
      <c r="L333" s="50" t="str">
        <f t="shared" si="25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48">
        <f t="shared" si="22"/>
        <v>0.9779411764705882</v>
      </c>
      <c r="J334" s="48" t="str">
        <f t="shared" si="23"/>
        <v>Medium</v>
      </c>
      <c r="K334" s="49" t="str">
        <f t="shared" si="24"/>
        <v/>
      </c>
      <c r="L334" s="50" t="str">
        <f t="shared" si="25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48">
        <f t="shared" si="22"/>
        <v>5.0199999999999996</v>
      </c>
      <c r="J335" s="48" t="str">
        <f t="shared" si="23"/>
        <v>High</v>
      </c>
      <c r="K335" s="49" t="str">
        <f t="shared" si="24"/>
        <v/>
      </c>
      <c r="L335" s="50" t="str">
        <f t="shared" si="25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48">
        <f t="shared" si="22"/>
        <v>1.6679999999999999</v>
      </c>
      <c r="J336" s="48" t="str">
        <f t="shared" si="23"/>
        <v>High</v>
      </c>
      <c r="K336" s="49" t="str">
        <f t="shared" si="24"/>
        <v/>
      </c>
      <c r="L336" s="50" t="str">
        <f t="shared" si="25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48">
        <f t="shared" si="22"/>
        <v>1.1721153846153847</v>
      </c>
      <c r="J337" s="48" t="str">
        <f t="shared" si="23"/>
        <v>Medium</v>
      </c>
      <c r="K337" s="49" t="str">
        <f t="shared" si="24"/>
        <v/>
      </c>
      <c r="L337" s="50" t="str">
        <f t="shared" si="25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48">
        <f t="shared" si="22"/>
        <v>0.20194444444444443</v>
      </c>
      <c r="J338" s="48" t="str">
        <f t="shared" si="23"/>
        <v>Low</v>
      </c>
      <c r="K338" s="49" t="str">
        <f t="shared" si="24"/>
        <v/>
      </c>
      <c r="L338" s="50" t="str">
        <f t="shared" si="25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48">
        <f t="shared" si="22"/>
        <v>2.35</v>
      </c>
      <c r="J339" s="48" t="str">
        <f t="shared" si="23"/>
        <v>High</v>
      </c>
      <c r="K339" s="49" t="str">
        <f t="shared" si="24"/>
        <v/>
      </c>
      <c r="L339" s="50" t="str">
        <f t="shared" si="25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48">
        <f t="shared" si="22"/>
        <v>0.40888888888888891</v>
      </c>
      <c r="J340" s="48" t="str">
        <f t="shared" si="23"/>
        <v>Low</v>
      </c>
      <c r="K340" s="49" t="str">
        <f t="shared" si="24"/>
        <v/>
      </c>
      <c r="L340" s="50" t="str">
        <f t="shared" si="25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48">
        <f t="shared" si="22"/>
        <v>1.3283333333333334</v>
      </c>
      <c r="J341" s="48" t="str">
        <f t="shared" si="23"/>
        <v>Medium</v>
      </c>
      <c r="K341" s="49" t="str">
        <f t="shared" si="24"/>
        <v/>
      </c>
      <c r="L341" s="50" t="str">
        <f t="shared" si="25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48">
        <f t="shared" si="22"/>
        <v>0.81333333333333335</v>
      </c>
      <c r="J342" s="48" t="str">
        <f t="shared" si="23"/>
        <v>Medium</v>
      </c>
      <c r="K342" s="49" t="str">
        <f t="shared" si="24"/>
        <v/>
      </c>
      <c r="L342" s="50" t="str">
        <f t="shared" si="25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48">
        <f t="shared" si="22"/>
        <v>0.57499999999999996</v>
      </c>
      <c r="J343" s="48" t="str">
        <f t="shared" si="23"/>
        <v>Medium</v>
      </c>
      <c r="K343" s="49" t="str">
        <f t="shared" si="24"/>
        <v/>
      </c>
      <c r="L343" s="50" t="str">
        <f t="shared" si="25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48">
        <f t="shared" si="22"/>
        <v>2.4750000000000001</v>
      </c>
      <c r="J344" s="48" t="str">
        <f t="shared" si="23"/>
        <v>High</v>
      </c>
      <c r="K344" s="49" t="str">
        <f t="shared" si="24"/>
        <v/>
      </c>
      <c r="L344" s="50" t="str">
        <f t="shared" si="25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48">
        <f t="shared" si="22"/>
        <v>0.43274999999999997</v>
      </c>
      <c r="J345" s="48" t="str">
        <f t="shared" si="23"/>
        <v>Low</v>
      </c>
      <c r="K345" s="49" t="str">
        <f t="shared" si="24"/>
        <v/>
      </c>
      <c r="L345" s="50" t="str">
        <f t="shared" si="25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48">
        <f t="shared" si="22"/>
        <v>0.68166666666666675</v>
      </c>
      <c r="J346" s="48" t="str">
        <f t="shared" si="23"/>
        <v>Medium</v>
      </c>
      <c r="K346" s="49" t="str">
        <f t="shared" si="24"/>
        <v/>
      </c>
      <c r="L346" s="50" t="str">
        <f t="shared" si="25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48">
        <f t="shared" si="22"/>
        <v>1.1379999999999999</v>
      </c>
      <c r="J347" s="48" t="str">
        <f t="shared" si="23"/>
        <v>Medium</v>
      </c>
      <c r="K347" s="49" t="str">
        <f t="shared" si="24"/>
        <v/>
      </c>
      <c r="L347" s="50" t="str">
        <f t="shared" si="25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48">
        <f t="shared" si="22"/>
        <v>0.31285714285714283</v>
      </c>
      <c r="J348" s="48" t="str">
        <f t="shared" si="23"/>
        <v>Low</v>
      </c>
      <c r="K348" s="49" t="str">
        <f t="shared" si="24"/>
        <v/>
      </c>
      <c r="L348" s="50" t="str">
        <f t="shared" si="25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48">
        <f t="shared" si="22"/>
        <v>0.38872340425531915</v>
      </c>
      <c r="J349" s="48" t="str">
        <f t="shared" si="23"/>
        <v>Low</v>
      </c>
      <c r="K349" s="49" t="str">
        <f t="shared" si="24"/>
        <v/>
      </c>
      <c r="L349" s="50" t="str">
        <f t="shared" si="25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48">
        <f t="shared" si="22"/>
        <v>0.84000000000000008</v>
      </c>
      <c r="J350" s="48" t="str">
        <f t="shared" si="23"/>
        <v>Medium</v>
      </c>
      <c r="K350" s="49" t="str">
        <f t="shared" si="24"/>
        <v/>
      </c>
      <c r="L350" s="50" t="str">
        <f t="shared" si="25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48">
        <f t="shared" si="22"/>
        <v>1.046</v>
      </c>
      <c r="J351" s="48" t="str">
        <f t="shared" si="23"/>
        <v>Medium</v>
      </c>
      <c r="K351" s="49" t="str">
        <f t="shared" si="24"/>
        <v/>
      </c>
      <c r="L351" s="50" t="str">
        <f t="shared" si="25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48">
        <f t="shared" si="22"/>
        <v>1.4333333333333333</v>
      </c>
      <c r="J352" s="48" t="str">
        <f t="shared" si="23"/>
        <v>Medium</v>
      </c>
      <c r="K352" s="49" t="str">
        <f t="shared" si="24"/>
        <v/>
      </c>
      <c r="L352" s="50" t="str">
        <f t="shared" si="25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48">
        <f t="shared" si="22"/>
        <v>2.0392647058823528</v>
      </c>
      <c r="J353" s="48" t="str">
        <f t="shared" si="23"/>
        <v>High</v>
      </c>
      <c r="K353" s="49" t="str">
        <f t="shared" si="24"/>
        <v/>
      </c>
      <c r="L353" s="50" t="str">
        <f t="shared" si="25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48">
        <f t="shared" si="22"/>
        <v>3.86</v>
      </c>
      <c r="J354" s="48" t="str">
        <f t="shared" si="23"/>
        <v>High</v>
      </c>
      <c r="K354" s="49" t="str">
        <f t="shared" si="24"/>
        <v/>
      </c>
      <c r="L354" s="50" t="str">
        <f t="shared" si="25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48">
        <f t="shared" si="22"/>
        <v>5.083333333333333</v>
      </c>
      <c r="J355" s="48" t="str">
        <f t="shared" si="23"/>
        <v>High</v>
      </c>
      <c r="K355" s="49" t="str">
        <f t="shared" si="24"/>
        <v/>
      </c>
      <c r="L355" s="50" t="str">
        <f t="shared" si="25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48">
        <f t="shared" si="22"/>
        <v>0.6277272727272728</v>
      </c>
      <c r="J356" s="48" t="str">
        <f t="shared" si="23"/>
        <v>Medium</v>
      </c>
      <c r="K356" s="49" t="str">
        <f t="shared" si="24"/>
        <v/>
      </c>
      <c r="L356" s="50" t="str">
        <f t="shared" si="25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48">
        <f t="shared" si="22"/>
        <v>1.1640140845070421</v>
      </c>
      <c r="J357" s="48" t="str">
        <f t="shared" si="23"/>
        <v>Medium</v>
      </c>
      <c r="K357" s="49" t="str">
        <f t="shared" si="24"/>
        <v/>
      </c>
      <c r="L357" s="50" t="str">
        <f t="shared" si="25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48">
        <f t="shared" si="22"/>
        <v>0.6925</v>
      </c>
      <c r="J358" s="48" t="str">
        <f t="shared" si="23"/>
        <v>Medium</v>
      </c>
      <c r="K358" s="49" t="str">
        <f t="shared" si="24"/>
        <v/>
      </c>
      <c r="L358" s="50" t="str">
        <f t="shared" si="25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48">
        <f t="shared" si="22"/>
        <v>1.8431111111111111</v>
      </c>
      <c r="J359" s="48" t="str">
        <f t="shared" si="23"/>
        <v>High</v>
      </c>
      <c r="K359" s="49" t="str">
        <f t="shared" si="24"/>
        <v/>
      </c>
      <c r="L359" s="50" t="str">
        <f t="shared" si="25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48">
        <f t="shared" si="22"/>
        <v>1.0342499999999999</v>
      </c>
      <c r="J360" s="48" t="str">
        <f t="shared" si="23"/>
        <v>Medium</v>
      </c>
      <c r="K360" s="49" t="str">
        <f t="shared" si="24"/>
        <v/>
      </c>
      <c r="L360" s="50" t="str">
        <f t="shared" si="25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48">
        <f t="shared" si="22"/>
        <v>1.5739583333333333</v>
      </c>
      <c r="J361" s="48" t="str">
        <f t="shared" si="23"/>
        <v>High</v>
      </c>
      <c r="K361" s="49" t="str">
        <f t="shared" si="24"/>
        <v/>
      </c>
      <c r="L361" s="50" t="str">
        <f t="shared" si="25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48">
        <f t="shared" si="22"/>
        <v>0.42499999999999999</v>
      </c>
      <c r="J362" s="48" t="str">
        <f t="shared" si="23"/>
        <v>Low</v>
      </c>
      <c r="K362" s="49" t="str">
        <f t="shared" si="24"/>
        <v/>
      </c>
      <c r="L362" s="50" t="str">
        <f t="shared" si="25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48">
        <f t="shared" si="22"/>
        <v>0.92870967741935484</v>
      </c>
      <c r="J363" s="48" t="str">
        <f t="shared" si="23"/>
        <v>Medium</v>
      </c>
      <c r="K363" s="49" t="str">
        <f t="shared" si="24"/>
        <v/>
      </c>
      <c r="L363" s="50" t="str">
        <f t="shared" si="25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48">
        <f t="shared" si="22"/>
        <v>0.78548387096774197</v>
      </c>
      <c r="J364" s="48" t="str">
        <f t="shared" si="23"/>
        <v>Medium</v>
      </c>
      <c r="K364" s="49" t="str">
        <f t="shared" si="24"/>
        <v/>
      </c>
      <c r="L364" s="50" t="str">
        <f t="shared" si="25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48">
        <f t="shared" si="22"/>
        <v>1.0757142857142858</v>
      </c>
      <c r="J365" s="48" t="str">
        <f t="shared" si="23"/>
        <v>Medium</v>
      </c>
      <c r="K365" s="49" t="str">
        <f t="shared" si="24"/>
        <v/>
      </c>
      <c r="L365" s="50" t="str">
        <f t="shared" si="25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48">
        <f t="shared" si="22"/>
        <v>1.3627586206896554</v>
      </c>
      <c r="J366" s="48" t="str">
        <f t="shared" si="23"/>
        <v>Medium</v>
      </c>
      <c r="K366" s="49" t="str">
        <f t="shared" si="24"/>
        <v/>
      </c>
      <c r="L366" s="50" t="str">
        <f t="shared" si="25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48">
        <f t="shared" si="22"/>
        <v>1.17</v>
      </c>
      <c r="J367" s="48" t="str">
        <f t="shared" si="23"/>
        <v>Medium</v>
      </c>
      <c r="K367" s="49" t="str">
        <f t="shared" si="24"/>
        <v/>
      </c>
      <c r="L367" s="50" t="str">
        <f t="shared" si="25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48">
        <f t="shared" si="22"/>
        <v>0.68333333333333335</v>
      </c>
      <c r="J368" s="48" t="str">
        <f t="shared" si="23"/>
        <v>Medium</v>
      </c>
      <c r="K368" s="49" t="str">
        <f t="shared" si="24"/>
        <v/>
      </c>
      <c r="L368" s="50" t="str">
        <f t="shared" si="25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48">
        <f t="shared" si="22"/>
        <v>0.98538461538461541</v>
      </c>
      <c r="J369" s="48" t="str">
        <f t="shared" si="23"/>
        <v>Medium</v>
      </c>
      <c r="K369" s="49" t="str">
        <f t="shared" si="24"/>
        <v/>
      </c>
      <c r="L369" s="50" t="str">
        <f t="shared" si="25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48">
        <f t="shared" si="22"/>
        <v>1.1375</v>
      </c>
      <c r="J370" s="48" t="str">
        <f t="shared" si="23"/>
        <v>Medium</v>
      </c>
      <c r="K370" s="49" t="str">
        <f t="shared" si="24"/>
        <v/>
      </c>
      <c r="L370" s="50" t="str">
        <f t="shared" si="25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48">
        <f t="shared" si="22"/>
        <v>1.0660000000000001</v>
      </c>
      <c r="J371" s="48" t="str">
        <f t="shared" si="23"/>
        <v>Medium</v>
      </c>
      <c r="K371" s="49" t="str">
        <f t="shared" si="24"/>
        <v/>
      </c>
      <c r="L371" s="50" t="str">
        <f t="shared" si="25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48">
        <f t="shared" si="22"/>
        <v>2.76</v>
      </c>
      <c r="J372" s="48" t="str">
        <f t="shared" si="23"/>
        <v>High</v>
      </c>
      <c r="K372" s="49" t="str">
        <f t="shared" si="24"/>
        <v/>
      </c>
      <c r="L372" s="50" t="str">
        <f t="shared" si="25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48">
        <f t="shared" si="22"/>
        <v>0.66026315789473689</v>
      </c>
      <c r="J373" s="48" t="str">
        <f t="shared" si="23"/>
        <v>Medium</v>
      </c>
      <c r="K373" s="49" t="str">
        <f t="shared" si="24"/>
        <v/>
      </c>
      <c r="L373" s="50" t="str">
        <f t="shared" si="25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48">
        <f t="shared" si="22"/>
        <v>1.395</v>
      </c>
      <c r="J374" s="48" t="str">
        <f t="shared" si="23"/>
        <v>Medium</v>
      </c>
      <c r="K374" s="49" t="str">
        <f t="shared" si="24"/>
        <v/>
      </c>
      <c r="L374" s="50" t="str">
        <f t="shared" si="25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48">
        <f t="shared" si="22"/>
        <v>0.88666666666666671</v>
      </c>
      <c r="J375" s="48" t="str">
        <f t="shared" si="23"/>
        <v>Medium</v>
      </c>
      <c r="K375" s="49" t="str">
        <f t="shared" si="24"/>
        <v/>
      </c>
      <c r="L375" s="50" t="str">
        <f t="shared" si="25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48">
        <f t="shared" si="22"/>
        <v>0.71333333333333337</v>
      </c>
      <c r="J376" s="48" t="str">
        <f t="shared" si="23"/>
        <v>Medium</v>
      </c>
      <c r="K376" s="49" t="str">
        <f t="shared" si="24"/>
        <v/>
      </c>
      <c r="L376" s="50" t="str">
        <f t="shared" si="25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48">
        <f t="shared" si="22"/>
        <v>2.1285714285714286</v>
      </c>
      <c r="J377" s="48" t="str">
        <f t="shared" si="23"/>
        <v>High</v>
      </c>
      <c r="K377" s="49" t="str">
        <f t="shared" si="24"/>
        <v/>
      </c>
      <c r="L377" s="50" t="str">
        <f t="shared" si="25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48">
        <f t="shared" si="22"/>
        <v>7.49</v>
      </c>
      <c r="J378" s="48" t="str">
        <f t="shared" si="23"/>
        <v>High</v>
      </c>
      <c r="K378" s="49" t="str">
        <f t="shared" si="24"/>
        <v/>
      </c>
      <c r="L378" s="50" t="str">
        <f t="shared" si="25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48">
        <f t="shared" si="22"/>
        <v>1.8260000000000001</v>
      </c>
      <c r="J379" s="48" t="str">
        <f t="shared" si="23"/>
        <v>High</v>
      </c>
      <c r="K379" s="49" t="str">
        <f t="shared" si="24"/>
        <v/>
      </c>
      <c r="L379" s="50" t="str">
        <f t="shared" si="25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48">
        <f t="shared" si="22"/>
        <v>1.0744444444444445</v>
      </c>
      <c r="J380" s="48" t="str">
        <f t="shared" si="23"/>
        <v>Medium</v>
      </c>
      <c r="K380" s="49" t="str">
        <f t="shared" si="24"/>
        <v/>
      </c>
      <c r="L380" s="50" t="str">
        <f t="shared" si="25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48">
        <f t="shared" si="22"/>
        <v>0.85666666666666658</v>
      </c>
      <c r="J381" s="48" t="str">
        <f t="shared" si="23"/>
        <v>Medium</v>
      </c>
      <c r="K381" s="49" t="str">
        <f t="shared" si="24"/>
        <v/>
      </c>
      <c r="L381" s="50" t="str">
        <f t="shared" si="25"/>
        <v>Untested</v>
      </c>
    </row>
    <row r="383" spans="1:12" x14ac:dyDescent="0.2">
      <c r="C383" s="56"/>
      <c r="D383" s="57" t="s">
        <v>426</v>
      </c>
      <c r="E383" s="58">
        <f>MAX(SIGNUPS)</f>
        <v>2784</v>
      </c>
      <c r="G383"/>
      <c r="H383"/>
      <c r="I383" s="54"/>
    </row>
    <row r="384" spans="1:12" x14ac:dyDescent="0.2">
      <c r="C384" s="59"/>
      <c r="D384" s="55" t="s">
        <v>422</v>
      </c>
      <c r="E384" s="60">
        <f>LARGE(SIGNUPS,1)</f>
        <v>2784</v>
      </c>
      <c r="G384"/>
      <c r="H384"/>
      <c r="I384"/>
    </row>
    <row r="385" spans="3:5" x14ac:dyDescent="0.2">
      <c r="C385" s="59"/>
      <c r="D385" s="55" t="s">
        <v>423</v>
      </c>
      <c r="E385" s="60">
        <f>LARGE(SIGNUPS,2)</f>
        <v>1222</v>
      </c>
    </row>
    <row r="386" spans="3:5" x14ac:dyDescent="0.2">
      <c r="C386" s="59"/>
      <c r="D386" s="55" t="s">
        <v>424</v>
      </c>
      <c r="E386" s="60">
        <f>LARGE(SIGNUPS,11)</f>
        <v>306</v>
      </c>
    </row>
    <row r="387" spans="3:5" x14ac:dyDescent="0.2">
      <c r="C387" s="61"/>
      <c r="D387" s="62" t="s">
        <v>425</v>
      </c>
      <c r="E387" s="63">
        <f>SMALL(SIGNUPS,11)</f>
        <v>3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73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73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73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73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73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73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15.5" style="36" customWidth="1"/>
    <col min="2" max="2" width="4.1640625" style="36" customWidth="1"/>
    <col min="3" max="3" width="16.5" style="36" customWidth="1"/>
    <col min="4" max="4" width="4.1640625" style="36" customWidth="1"/>
    <col min="5" max="5" width="17" style="36" customWidth="1"/>
    <col min="6" max="16384" width="10.83203125" style="36"/>
  </cols>
  <sheetData>
    <row r="1" spans="1:5" x14ac:dyDescent="0.2">
      <c r="A1" s="37" t="s">
        <v>412</v>
      </c>
      <c r="C1" s="37" t="s">
        <v>411</v>
      </c>
      <c r="E1" s="37" t="s">
        <v>406</v>
      </c>
    </row>
    <row r="2" spans="1:5" x14ac:dyDescent="0.2">
      <c r="A2" s="3" t="s">
        <v>341</v>
      </c>
      <c r="C2" s="38" t="s">
        <v>237</v>
      </c>
      <c r="E2" s="40" t="s">
        <v>416</v>
      </c>
    </row>
    <row r="3" spans="1:5" x14ac:dyDescent="0.2">
      <c r="A3" s="3" t="s">
        <v>384</v>
      </c>
      <c r="C3" s="38" t="s">
        <v>385</v>
      </c>
      <c r="E3" s="40" t="s">
        <v>415</v>
      </c>
    </row>
    <row r="4" spans="1:5" x14ac:dyDescent="0.2">
      <c r="A4" s="3" t="s">
        <v>383</v>
      </c>
      <c r="C4" s="38" t="s">
        <v>22</v>
      </c>
      <c r="E4" s="40" t="s">
        <v>414</v>
      </c>
    </row>
    <row r="5" spans="1:5" x14ac:dyDescent="0.2">
      <c r="A5" s="3" t="s">
        <v>387</v>
      </c>
      <c r="C5" s="38" t="s">
        <v>388</v>
      </c>
      <c r="E5" s="40" t="s">
        <v>417</v>
      </c>
    </row>
    <row r="6" spans="1:5" x14ac:dyDescent="0.2">
      <c r="A6" s="3" t="s">
        <v>340</v>
      </c>
      <c r="C6" s="38" t="s">
        <v>386</v>
      </c>
    </row>
    <row r="7" spans="1:5" x14ac:dyDescent="0.2">
      <c r="A7" s="3" t="s">
        <v>313</v>
      </c>
      <c r="C7" s="38"/>
    </row>
    <row r="8" spans="1:5" x14ac:dyDescent="0.2">
      <c r="A8" s="3" t="s">
        <v>364</v>
      </c>
      <c r="C8"/>
    </row>
    <row r="9" spans="1:5" x14ac:dyDescent="0.2">
      <c r="C9"/>
    </row>
    <row r="10" spans="1:5" x14ac:dyDescent="0.2">
      <c r="A10"/>
      <c r="C10"/>
    </row>
    <row r="11" spans="1:5" x14ac:dyDescent="0.2">
      <c r="A11"/>
      <c r="C11"/>
    </row>
    <row r="12" spans="1:5" x14ac:dyDescent="0.2">
      <c r="A12"/>
      <c r="C12"/>
    </row>
    <row r="13" spans="1:5" x14ac:dyDescent="0.2">
      <c r="A13"/>
      <c r="C13"/>
    </row>
    <row r="14" spans="1:5" x14ac:dyDescent="0.2">
      <c r="A14"/>
      <c r="C14"/>
    </row>
    <row r="15" spans="1:5" x14ac:dyDescent="0.2">
      <c r="A15"/>
      <c r="C15"/>
    </row>
    <row r="16" spans="1:5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2017-11-02T10:01:11Z</dcterms:modified>
</cp:coreProperties>
</file>