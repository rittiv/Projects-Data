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/>
  <mc:AlternateContent xmlns:mc="http://schemas.openxmlformats.org/markup-compatibility/2006">
    <mc:Choice Requires="x15">
      <x15ac:absPath xmlns:x15ac="http://schemas.microsoft.com/office/spreadsheetml/2010/11/ac" url="/Users/rittiv/Documents/GitHub/Projects-Data/1.7. EXCEL  SECTION - Advanced Formulas and Functions/"/>
    </mc:Choice>
  </mc:AlternateContent>
  <xr:revisionPtr revIDLastSave="0" documentId="13_ncr:1_{3D0E87FE-C77A-0A4F-BCC6-D1CEEB76CEF9}" xr6:coauthVersionLast="47" xr6:coauthVersionMax="47" xr10:uidLastSave="{00000000-0000-0000-0000-000000000000}"/>
  <bookViews>
    <workbookView xWindow="25620" yWindow="620" windowWidth="25600" windowHeight="28200" xr2:uid="{00000000-000D-0000-FFFF-FFFF00000000}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  <definedName name="Marketing">marketing_perf!$A$1:$H$381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2" i="6"/>
  <c r="L3" i="6"/>
  <c r="L4" i="6"/>
  <c r="L5" i="6"/>
  <c r="L6" i="6"/>
  <c r="L7" i="6"/>
  <c r="L8" i="6"/>
  <c r="L9" i="6"/>
  <c r="L10" i="6"/>
  <c r="L11" i="6"/>
  <c r="L2" i="6"/>
  <c r="K3" i="6"/>
  <c r="K4" i="6"/>
  <c r="K5" i="6"/>
  <c r="K6" i="6"/>
  <c r="K7" i="6"/>
  <c r="K8" i="6"/>
  <c r="K9" i="6"/>
  <c r="K10" i="6"/>
  <c r="K11" i="6"/>
  <c r="K2" i="6"/>
  <c r="N5" i="8"/>
  <c r="N6" i="8"/>
  <c r="N7" i="8"/>
  <c r="N8" i="8"/>
  <c r="N9" i="8"/>
  <c r="N10" i="8"/>
  <c r="N4" i="8"/>
  <c r="M5" i="8"/>
  <c r="O5" i="8" s="1"/>
  <c r="M6" i="8"/>
  <c r="O6" i="8" s="1"/>
  <c r="M7" i="8"/>
  <c r="O7" i="8" s="1"/>
  <c r="M8" i="8"/>
  <c r="O8" i="8" s="1"/>
  <c r="M9" i="8"/>
  <c r="O9" i="8" s="1"/>
  <c r="M10" i="8"/>
  <c r="O10" i="8" s="1"/>
  <c r="M4" i="8"/>
  <c r="O4" i="8" s="1"/>
</calcChain>
</file>

<file path=xl/sharedStrings.xml><?xml version="1.0" encoding="utf-8"?>
<sst xmlns="http://schemas.openxmlformats.org/spreadsheetml/2006/main" count="1190" uniqueCount="405">
  <si>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</si>
  <si>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</si>
  <si>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</si>
  <si>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</si>
  <si>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</si>
  <si>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</si>
  <si>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</si>
  <si>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</si>
  <si>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</si>
  <si>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</si>
  <si>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</si>
  <si>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</si>
  <si>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</si>
  <si>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</si>
  <si>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</si>
  <si>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</si>
  <si>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</si>
  <si>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</si>
  <si>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</si>
  <si>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</si>
  <si>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</si>
  <si>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</si>
  <si>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</si>
  <si>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</si>
  <si>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</si>
  <si>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</si>
  <si>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</si>
  <si>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</si>
  <si>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</si>
  <si>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</si>
  <si>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</si>
  <si>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</si>
  <si>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</si>
  <si>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</si>
  <si>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</si>
  <si>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</si>
  <si>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</si>
  <si>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</si>
  <si>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</si>
  <si>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</si>
  <si>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</si>
  <si>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</si>
  <si>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</si>
  <si>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</si>
  <si>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</si>
  <si>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</si>
  <si>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</si>
  <si>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</si>
  <si>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</si>
  <si>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</si>
  <si>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</si>
  <si>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</si>
  <si>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</si>
  <si>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</si>
  <si>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</si>
  <si>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</si>
  <si>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</si>
  <si>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</si>
  <si>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</si>
  <si>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</si>
  <si>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</si>
  <si>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</si>
  <si>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</si>
  <si>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</si>
  <si>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</si>
  <si>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</si>
  <si>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</si>
  <si>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</si>
  <si>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</si>
  <si>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</si>
  <si>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</si>
  <si>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</si>
  <si>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</si>
  <si>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</si>
  <si>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</si>
  <si>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</si>
  <si>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</si>
  <si>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</si>
  <si>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</si>
  <si>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</si>
  <si>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</si>
  <si>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</si>
  <si>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</si>
  <si>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</si>
  <si>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</si>
  <si>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</si>
  <si>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</si>
  <si>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</si>
  <si>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</si>
  <si>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</si>
  <si>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</si>
  <si>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</si>
  <si>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</si>
  <si>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</si>
  <si>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</si>
  <si>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</si>
  <si>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</si>
  <si>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</si>
  <si>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</si>
  <si>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</si>
  <si>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</si>
  <si>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</si>
  <si>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</si>
  <si>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</si>
  <si>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</si>
  <si>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</si>
  <si>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</si>
  <si>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</si>
  <si>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</si>
  <si>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</si>
  <si>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</si>
  <si>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</si>
  <si>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</si>
  <si>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</si>
  <si>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</si>
  <si>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</si>
  <si>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</si>
  <si>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</si>
  <si>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</si>
  <si>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</si>
  <si>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</si>
  <si>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</si>
  <si>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</si>
  <si>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</si>
  <si>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</si>
  <si>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</si>
  <si>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</si>
  <si>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</si>
  <si>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</si>
  <si>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</si>
  <si>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</si>
  <si>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</si>
  <si>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</si>
  <si>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</si>
  <si>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</si>
  <si>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</si>
  <si>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</si>
  <si>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</si>
  <si>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</si>
  <si>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</si>
  <si>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</si>
  <si>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</si>
  <si>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</si>
  <si>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</si>
  <si>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</si>
  <si>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</si>
  <si>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</si>
  <si>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</si>
  <si>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</si>
  <si>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</si>
  <si>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</si>
  <si>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</si>
  <si>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</si>
  <si>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</si>
  <si>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</si>
  <si>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</si>
  <si>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</si>
  <si>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</si>
  <si>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</si>
  <si>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</si>
  <si>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</si>
  <si>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</si>
  <si>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</si>
  <si>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</si>
  <si>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</si>
  <si>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</si>
  <si>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</si>
  <si>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</si>
  <si>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</si>
  <si>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</si>
  <si>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</si>
  <si>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</si>
  <si>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</si>
  <si>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</si>
  <si>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</si>
  <si>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</si>
  <si>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</si>
  <si>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</si>
  <si>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</si>
  <si>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</si>
  <si>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</si>
  <si>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</si>
  <si>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</si>
  <si>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</si>
  <si>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</si>
  <si>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</si>
  <si>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</si>
  <si>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</si>
  <si>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</si>
  <si>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</si>
  <si>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</si>
  <si>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</si>
  <si>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</si>
  <si>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</si>
  <si>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</si>
  <si>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</si>
  <si>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</si>
  <si>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</si>
  <si>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</si>
  <si>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</si>
  <si>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</si>
  <si>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</si>
  <si>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</si>
  <si>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</si>
  <si>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</si>
  <si>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</si>
  <si>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</si>
  <si>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</si>
  <si>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</si>
  <si>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</si>
  <si>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</si>
  <si>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</si>
  <si>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</si>
  <si>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</si>
  <si>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</si>
  <si>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</si>
  <si>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</si>
  <si>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</si>
  <si>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</si>
  <si>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</si>
  <si>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</si>
  <si>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</si>
  <si>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</si>
  <si>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</si>
  <si>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</si>
  <si>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</si>
  <si>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</si>
  <si>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</si>
  <si>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</si>
  <si>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</si>
  <si>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</si>
  <si>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</si>
  <si>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</si>
  <si>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</si>
  <si>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</si>
  <si>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</si>
  <si>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</si>
  <si>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</si>
  <si>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</si>
  <si>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</si>
  <si>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</si>
  <si>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</si>
  <si>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</si>
  <si>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</si>
  <si>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</si>
  <si>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</si>
  <si>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</si>
  <si>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</si>
  <si>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</si>
  <si>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</si>
  <si>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</si>
  <si>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</si>
  <si>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</si>
  <si>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</si>
  <si>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</si>
  <si>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</si>
  <si>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</si>
  <si>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</si>
  <si>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</si>
  <si>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</si>
  <si>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</si>
  <si>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</si>
  <si>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</si>
  <si>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</si>
  <si>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</si>
  <si>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</si>
  <si>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</si>
  <si>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</si>
  <si>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</si>
  <si>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</si>
  <si>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</si>
  <si>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</si>
  <si>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</si>
  <si>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</si>
  <si>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</si>
  <si>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</si>
  <si>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</si>
  <si>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</si>
  <si>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</si>
  <si>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</si>
  <si>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</si>
  <si>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</si>
  <si>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</si>
  <si>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</si>
  <si>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</si>
  <si>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</si>
  <si>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</si>
  <si>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</si>
  <si>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</si>
  <si>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</si>
  <si>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</si>
  <si>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</si>
  <si>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</si>
  <si>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</si>
  <si>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</si>
  <si>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</si>
  <si>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</si>
  <si>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</si>
  <si>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</si>
  <si>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</si>
  <si>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</si>
  <si>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</si>
  <si>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</si>
  <si>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</si>
  <si>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</si>
  <si>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</si>
  <si>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</si>
  <si>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</si>
  <si>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</si>
  <si>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</si>
  <si>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</si>
  <si>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</si>
  <si>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</si>
  <si>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</si>
  <si>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</si>
  <si>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</si>
  <si>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</si>
  <si>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</si>
  <si>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</si>
  <si>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</si>
  <si>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</si>
  <si>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</si>
  <si>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</si>
  <si>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</si>
  <si>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</si>
  <si>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</si>
  <si>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</si>
  <si>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</si>
  <si>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</si>
  <si>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</si>
  <si>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</si>
  <si>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</si>
  <si>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</si>
  <si>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</si>
  <si>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</si>
  <si>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</si>
  <si>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</si>
  <si>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</si>
  <si>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</si>
  <si>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</si>
  <si>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</si>
  <si>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</si>
  <si>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</si>
  <si>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</si>
  <si>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</si>
  <si>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</si>
  <si>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</si>
  <si>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</si>
  <si>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</si>
  <si>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</si>
  <si>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</si>
  <si>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</si>
  <si>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</si>
  <si>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</si>
  <si>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</si>
  <si>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</si>
  <si>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</si>
  <si>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</si>
  <si>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</si>
  <si>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</si>
  <si>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</si>
  <si>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</si>
  <si>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</si>
  <si>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</si>
  <si>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</si>
  <si>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</si>
  <si>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</si>
  <si>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</si>
  <si>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</si>
  <si>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</si>
  <si>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</si>
  <si>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</si>
  <si>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</si>
  <si>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</si>
  <si>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</si>
  <si>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</si>
  <si>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</si>
  <si>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</si>
  <si>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</si>
  <si>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</si>
  <si>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</si>
  <si>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</si>
  <si>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</si>
  <si>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</si>
  <si>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</si>
  <si>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</si>
  <si>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</si>
  <si>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</si>
  <si>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</si>
  <si>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</si>
  <si>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</si>
  <si>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</si>
  <si>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</si>
  <si>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</si>
  <si>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</si>
  <si>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</si>
  <si>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</si>
  <si>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</si>
  <si>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</si>
  <si>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</si>
  <si>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Trending</t>
  </si>
  <si>
    <t>Total</t>
  </si>
  <si>
    <t>Campaigns</t>
  </si>
  <si>
    <t>Number of User Signups</t>
  </si>
  <si>
    <t xml:space="preserve"> % Signups from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</si>
</sst>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&quot;HK$&quot;* #,##0.00_);_(&quot;HK$&quot;* \(#,##0.00\);_(&quot;HK$&quot;* &quot;-&quot;??_);_(@_)"/>
    <numFmt numFmtId="165" formatCode="_([$$-409]* #,##0_);_([$$-409]* \(#,##0\);_([$$-409]* &quot;-&quot;??_);_(@_)"/>
    <numFmt numFmtId="166" formatCode="[$-409]mmm\-yy;@"/>
    <numFmt numFmtId="167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164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20" fillId="33" borderId="0" xfId="0" applyFont="1" applyFill="1"/>
    <xf numFmtId="166" fontId="20" fillId="33" borderId="0" xfId="0" applyNumberFormat="1" applyFont="1" applyFill="1"/>
    <xf numFmtId="0" fontId="21" fillId="0" borderId="0" xfId="0" applyFont="1"/>
    <xf numFmtId="166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5" fontId="2" fillId="0" borderId="0" xfId="42" applyNumberFormat="1" applyFont="1"/>
    <xf numFmtId="165" fontId="20" fillId="33" borderId="0" xfId="42" applyNumberFormat="1" applyFont="1" applyFill="1" applyAlignment="1">
      <alignment horizontal="right"/>
    </xf>
    <xf numFmtId="165" fontId="21" fillId="0" borderId="0" xfId="42" applyNumberFormat="1" applyFont="1"/>
    <xf numFmtId="165" fontId="2" fillId="0" borderId="0" xfId="0" applyNumberFormat="1" applyFont="1"/>
    <xf numFmtId="0" fontId="20" fillId="34" borderId="0" xfId="0" applyFont="1" applyFill="1"/>
    <xf numFmtId="0" fontId="20" fillId="34" borderId="0" xfId="0" applyFont="1" applyFill="1" applyAlignment="1">
      <alignment horizontal="right"/>
    </xf>
    <xf numFmtId="0" fontId="22" fillId="0" borderId="0" xfId="0" applyFont="1"/>
    <xf numFmtId="0" fontId="22" fillId="35" borderId="0" xfId="0" applyFont="1" applyFill="1"/>
    <xf numFmtId="165" fontId="22" fillId="35" borderId="0" xfId="0" applyNumberFormat="1" applyFont="1" applyFill="1"/>
    <xf numFmtId="165" fontId="20" fillId="34" borderId="0" xfId="0" applyNumberFormat="1" applyFont="1" applyFill="1" applyAlignment="1">
      <alignment horizontal="right"/>
    </xf>
    <xf numFmtId="165" fontId="22" fillId="36" borderId="0" xfId="0" applyNumberFormat="1" applyFont="1" applyFill="1"/>
    <xf numFmtId="0" fontId="1" fillId="0" borderId="0" xfId="0" applyFont="1"/>
    <xf numFmtId="0" fontId="20" fillId="37" borderId="0" xfId="0" applyFont="1" applyFill="1"/>
    <xf numFmtId="167" fontId="1" fillId="0" borderId="0" xfId="47" applyNumberFormat="1" applyFont="1"/>
    <xf numFmtId="0" fontId="20" fillId="37" borderId="0" xfId="0" applyFont="1" applyFill="1" applyAlignment="1">
      <alignment horizontal="right"/>
    </xf>
    <xf numFmtId="167" fontId="1" fillId="38" borderId="0" xfId="47" applyNumberFormat="1" applyFont="1" applyFill="1"/>
    <xf numFmtId="0" fontId="25" fillId="0" borderId="0" xfId="0" applyFont="1"/>
    <xf numFmtId="0" fontId="20" fillId="39" borderId="0" xfId="0" applyFont="1" applyFill="1" applyAlignment="1">
      <alignment horizontal="left"/>
    </xf>
    <xf numFmtId="0" fontId="20" fillId="39" borderId="0" xfId="0" applyFont="1" applyFill="1" applyAlignment="1">
      <alignment horizontal="right"/>
    </xf>
    <xf numFmtId="167" fontId="1" fillId="35" borderId="0" xfId="47" applyNumberFormat="1" applyFont="1" applyFill="1"/>
    <xf numFmtId="167" fontId="1" fillId="36" borderId="0" xfId="47" applyNumberFormat="1" applyFont="1" applyFill="1"/>
    <xf numFmtId="9" fontId="1" fillId="36" borderId="0" xfId="48" applyFont="1" applyFill="1"/>
    <xf numFmtId="0" fontId="1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1"/>
  <sheetViews>
    <sheetView tabSelected="1" zoomScale="130" zoomScaleNormal="130" workbookViewId="0">
      <pane ySplit="1" topLeftCell="A2" activePane="bottomLeft" state="frozen"/>
      <selection pane="bottomLeft" activeCell="C27" sqref="C27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0.83203125" style="6"/>
    <col min="10" max="10" width="18.83203125" style="6" customWidth="1"/>
    <col min="11" max="11" width="10.83203125" style="6" customWidth="1"/>
    <col min="12" max="12" width="11" style="6" customWidth="1"/>
    <col min="13" max="13" width="10.5" style="10" customWidth="1"/>
    <col min="14" max="16384" width="10.83203125" style="6"/>
  </cols>
  <sheetData>
    <row r="1" spans="1:13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11" t="s">
        <v>400</v>
      </c>
      <c r="K1" s="11" t="s">
        <v>0</v>
      </c>
      <c r="L1" s="12" t="s">
        <v>389</v>
      </c>
      <c r="M1" s="16" t="s">
        <v>381</v>
      </c>
    </row>
    <row r="2" spans="1:13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13" t="s">
        <v>64</v>
      </c>
      <c r="K2" s="14" t="str">
        <f>VLOOKUP(J2,Marketing,2,FALSE)</f>
        <v>Designer</v>
      </c>
      <c r="L2" s="15">
        <f>VLOOKUP(J2,Marketing,7,FALSE)</f>
        <v>250</v>
      </c>
      <c r="M2" s="17">
        <f>VLOOKUP(J2,Marketing,8,FALSE)</f>
        <v>13.11</v>
      </c>
    </row>
    <row r="3" spans="1:13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13" t="s">
        <v>60</v>
      </c>
      <c r="K3" s="14" t="str">
        <f>VLOOKUP(J3,Marketing,2,FALSE)</f>
        <v>None</v>
      </c>
      <c r="L3" s="15">
        <f>VLOOKUP(J3,Marketing,7,FALSE)</f>
        <v>260</v>
      </c>
      <c r="M3" s="17">
        <f>VLOOKUP(J3,Marketing,8,FALSE)</f>
        <v>22.6</v>
      </c>
    </row>
    <row r="4" spans="1:13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13" t="s">
        <v>11</v>
      </c>
      <c r="K4" s="14" t="str">
        <f>VLOOKUP(J4,Marketing,2,FALSE)</f>
        <v>Discount</v>
      </c>
      <c r="L4" s="15">
        <f>VLOOKUP(J4,Marketing,7,FALSE)</f>
        <v>966</v>
      </c>
      <c r="M4" s="17">
        <f>VLOOKUP(J4,Marketing,8,FALSE)</f>
        <v>465.24</v>
      </c>
    </row>
    <row r="5" spans="1:13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13" t="s">
        <v>15</v>
      </c>
      <c r="K5" s="14" t="str">
        <f>VLOOKUP(J5,Marketing,2,FALSE)</f>
        <v>None</v>
      </c>
      <c r="L5" s="15">
        <f>VLOOKUP(J5,Marketing,7,FALSE)</f>
        <v>720</v>
      </c>
      <c r="M5" s="17">
        <f>VLOOKUP(J5,Marketing,8,FALSE)</f>
        <v>11.92</v>
      </c>
    </row>
    <row r="6" spans="1:13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13" t="s">
        <v>20</v>
      </c>
      <c r="K6" s="14" t="str">
        <f>VLOOKUP(J6,Marketing,2,FALSE)</f>
        <v>Discount</v>
      </c>
      <c r="L6" s="15">
        <f>VLOOKUP(J6,Marketing,7,FALSE)</f>
        <v>632</v>
      </c>
      <c r="M6" s="17">
        <f>VLOOKUP(J6,Marketing,8,FALSE)</f>
        <v>159.16</v>
      </c>
    </row>
    <row r="7" spans="1:13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13" t="s">
        <v>84</v>
      </c>
      <c r="K7" s="14" t="str">
        <f>VLOOKUP(J7,Marketing,2,FALSE)</f>
        <v>None</v>
      </c>
      <c r="L7" s="15">
        <f>VLOOKUP(J7,Marketing,7,FALSE)</f>
        <v>160.6</v>
      </c>
      <c r="M7" s="17">
        <f>VLOOKUP(J7,Marketing,8,FALSE)</f>
        <v>111.2</v>
      </c>
    </row>
    <row r="8" spans="1:13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13" t="s">
        <v>33</v>
      </c>
      <c r="K8" s="14" t="str">
        <f>VLOOKUP(J8,Marketing,2,FALSE)</f>
        <v>Designer</v>
      </c>
      <c r="L8" s="15">
        <f>VLOOKUP(J8,Marketing,7,FALSE)</f>
        <v>413</v>
      </c>
      <c r="M8" s="17">
        <f>VLOOKUP(J8,Marketing,8,FALSE)</f>
        <v>67</v>
      </c>
    </row>
    <row r="9" spans="1:13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13" t="s">
        <v>63</v>
      </c>
      <c r="K9" s="14" t="str">
        <f>VLOOKUP(J9,Marketing,2,FALSE)</f>
        <v>Designer</v>
      </c>
      <c r="L9" s="15">
        <f>VLOOKUP(J9,Marketing,7,FALSE)</f>
        <v>258</v>
      </c>
      <c r="M9" s="17">
        <f>VLOOKUP(J9,Marketing,8,FALSE)</f>
        <v>135.78</v>
      </c>
    </row>
    <row r="10" spans="1:13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13" t="s">
        <v>333</v>
      </c>
      <c r="K10" s="14" t="str">
        <f>VLOOKUP(J10,Marketing,2,FALSE)</f>
        <v>None</v>
      </c>
      <c r="L10" s="15">
        <f>VLOOKUP(J10,Marketing,7,FALSE)</f>
        <v>0</v>
      </c>
      <c r="M10" s="17">
        <f>VLOOKUP(J10,Marketing,8,FALSE)</f>
        <v>5.0199999999999996</v>
      </c>
    </row>
    <row r="11" spans="1:13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13" t="s">
        <v>28</v>
      </c>
      <c r="K11" s="14" t="str">
        <f>VLOOKUP(J11,Marketing,2,FALSE)</f>
        <v>None</v>
      </c>
      <c r="L11" s="15">
        <f>VLOOKUP(J11,Marketing,7,FALSE)</f>
        <v>467.83</v>
      </c>
      <c r="M11" s="17">
        <f>VLOOKUP(J11,Marketing,8,FALSE)</f>
        <v>295.19</v>
      </c>
    </row>
    <row r="12" spans="1:13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</row>
    <row r="13" spans="1:13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</row>
    <row r="14" spans="1:13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3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</row>
    <row r="16" spans="1:13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</row>
    <row r="17" spans="1:8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xmlns:xlrd2="http://schemas.microsoft.com/office/spreadsheetml/2017/richdata2"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zoomScale="130" zoomScaleNormal="130" workbookViewId="0">
      <selection activeCell="C4" sqref="C4"/>
    </sheetView>
  </sheetViews>
  <sheetFormatPr baseColWidth="10" defaultRowHeight="16" x14ac:dyDescent="0.2"/>
  <cols>
    <col min="1" max="1" width="4.5" style="18" customWidth="1"/>
    <col min="2" max="2" width="10.83203125" style="18"/>
    <col min="3" max="10" width="8.83203125" style="18" customWidth="1"/>
    <col min="11" max="12" width="10.83203125" style="18"/>
    <col min="13" max="13" width="9.6640625" style="18" customWidth="1"/>
    <col min="14" max="14" width="10.83203125" style="18"/>
    <col min="15" max="15" width="24.1640625" style="18" customWidth="1"/>
    <col min="16" max="16384" width="10.83203125" style="18"/>
  </cols>
  <sheetData>
    <row r="1" spans="1:15" x14ac:dyDescent="0.2">
      <c r="C1" s="23" t="s">
        <v>403</v>
      </c>
    </row>
    <row r="2" spans="1:15" x14ac:dyDescent="0.2">
      <c r="C2" s="18" t="s">
        <v>382</v>
      </c>
    </row>
    <row r="3" spans="1:15" x14ac:dyDescent="0.2">
      <c r="C3" s="21" t="s">
        <v>341</v>
      </c>
      <c r="D3" s="21" t="s">
        <v>384</v>
      </c>
      <c r="E3" s="21" t="s">
        <v>383</v>
      </c>
      <c r="F3" s="21" t="s">
        <v>387</v>
      </c>
      <c r="G3" s="21" t="s">
        <v>340</v>
      </c>
      <c r="H3" s="21" t="s">
        <v>364</v>
      </c>
      <c r="I3" s="21" t="s">
        <v>313</v>
      </c>
      <c r="J3" s="21" t="s">
        <v>401</v>
      </c>
      <c r="L3" s="24" t="s">
        <v>382</v>
      </c>
      <c r="M3" s="25" t="s">
        <v>22</v>
      </c>
      <c r="N3" s="25" t="s">
        <v>401</v>
      </c>
      <c r="O3" s="25" t="s">
        <v>404</v>
      </c>
    </row>
    <row r="4" spans="1:15" ht="16" customHeight="1" x14ac:dyDescent="0.2">
      <c r="A4" s="29" t="s">
        <v>402</v>
      </c>
      <c r="B4" s="19" t="s">
        <v>385</v>
      </c>
      <c r="C4" s="20"/>
      <c r="D4" s="20"/>
      <c r="E4" s="20">
        <v>416</v>
      </c>
      <c r="F4" s="20"/>
      <c r="G4" s="20"/>
      <c r="H4" s="20">
        <v>321</v>
      </c>
      <c r="I4" s="20"/>
      <c r="J4" s="22">
        <v>737</v>
      </c>
      <c r="L4" s="18" t="s">
        <v>341</v>
      </c>
      <c r="M4" s="26">
        <f>HLOOKUP(L4,$B$3:$J$9,4,FALSE)</f>
        <v>0</v>
      </c>
      <c r="N4" s="27">
        <f>HLOOKUP(L4,$B$3:$J$9,7,FALSE)</f>
        <v>2772</v>
      </c>
      <c r="O4" s="28">
        <f>M4/N4</f>
        <v>0</v>
      </c>
    </row>
    <row r="5" spans="1:15" x14ac:dyDescent="0.2">
      <c r="A5" s="29"/>
      <c r="B5" s="19" t="s">
        <v>237</v>
      </c>
      <c r="C5" s="20"/>
      <c r="D5" s="20">
        <v>54</v>
      </c>
      <c r="E5" s="20">
        <v>2987</v>
      </c>
      <c r="F5" s="20">
        <v>405</v>
      </c>
      <c r="G5" s="20">
        <v>136</v>
      </c>
      <c r="H5" s="20"/>
      <c r="I5" s="20">
        <v>5123</v>
      </c>
      <c r="J5" s="22">
        <v>8705</v>
      </c>
      <c r="L5" s="18" t="s">
        <v>384</v>
      </c>
      <c r="M5" s="26">
        <f t="shared" ref="M5:M10" si="0">HLOOKUP(L5,$B$3:$J$9,4,FALSE)</f>
        <v>15</v>
      </c>
      <c r="N5" s="27">
        <f t="shared" ref="N5:N10" si="1">HLOOKUP(L5,$B$3:$J$9,7,FALSE)</f>
        <v>5262</v>
      </c>
      <c r="O5" s="28">
        <f t="shared" ref="O5:O10" si="2">M5/N5</f>
        <v>2.8506271379703536E-3</v>
      </c>
    </row>
    <row r="6" spans="1:15" ht="17" customHeight="1" x14ac:dyDescent="0.2">
      <c r="A6" s="29"/>
      <c r="B6" s="19" t="s">
        <v>22</v>
      </c>
      <c r="C6" s="20"/>
      <c r="D6" s="20">
        <v>15</v>
      </c>
      <c r="E6" s="20">
        <v>2036</v>
      </c>
      <c r="F6" s="20"/>
      <c r="G6" s="20">
        <v>110</v>
      </c>
      <c r="H6" s="20"/>
      <c r="I6" s="20">
        <v>3624</v>
      </c>
      <c r="J6" s="22">
        <v>5785</v>
      </c>
      <c r="L6" s="18" t="s">
        <v>340</v>
      </c>
      <c r="M6" s="26">
        <f t="shared" si="0"/>
        <v>110</v>
      </c>
      <c r="N6" s="27">
        <f t="shared" si="1"/>
        <v>324</v>
      </c>
      <c r="O6" s="28">
        <f t="shared" si="2"/>
        <v>0.33950617283950618</v>
      </c>
    </row>
    <row r="7" spans="1:15" x14ac:dyDescent="0.2">
      <c r="A7" s="29"/>
      <c r="B7" s="19" t="s">
        <v>388</v>
      </c>
      <c r="C7" s="20"/>
      <c r="D7" s="20">
        <v>86</v>
      </c>
      <c r="E7" s="20"/>
      <c r="F7" s="20"/>
      <c r="G7" s="20"/>
      <c r="H7" s="20"/>
      <c r="I7" s="20">
        <v>13</v>
      </c>
      <c r="J7" s="22">
        <v>99</v>
      </c>
      <c r="L7" s="18" t="s">
        <v>313</v>
      </c>
      <c r="M7" s="26">
        <f t="shared" si="0"/>
        <v>3624</v>
      </c>
      <c r="N7" s="27">
        <f t="shared" si="1"/>
        <v>11481</v>
      </c>
      <c r="O7" s="28">
        <f t="shared" si="2"/>
        <v>0.31565194669453878</v>
      </c>
    </row>
    <row r="8" spans="1:15" ht="16" customHeight="1" x14ac:dyDescent="0.2">
      <c r="A8" s="29"/>
      <c r="B8" s="19" t="s">
        <v>386</v>
      </c>
      <c r="C8" s="20">
        <v>2772</v>
      </c>
      <c r="D8" s="20">
        <v>5107</v>
      </c>
      <c r="E8" s="20">
        <v>288</v>
      </c>
      <c r="F8" s="20">
        <v>151</v>
      </c>
      <c r="G8" s="20">
        <v>78</v>
      </c>
      <c r="H8" s="20"/>
      <c r="I8" s="20">
        <v>2721</v>
      </c>
      <c r="J8" s="22">
        <v>11117</v>
      </c>
      <c r="L8" s="18" t="s">
        <v>387</v>
      </c>
      <c r="M8" s="26">
        <f t="shared" si="0"/>
        <v>0</v>
      </c>
      <c r="N8" s="27">
        <f t="shared" si="1"/>
        <v>556</v>
      </c>
      <c r="O8" s="28">
        <f t="shared" si="2"/>
        <v>0</v>
      </c>
    </row>
    <row r="9" spans="1:15" x14ac:dyDescent="0.2">
      <c r="A9" s="29"/>
      <c r="B9" s="19" t="s">
        <v>401</v>
      </c>
      <c r="C9" s="22">
        <v>2772</v>
      </c>
      <c r="D9" s="22">
        <v>5262</v>
      </c>
      <c r="E9" s="22">
        <v>5727</v>
      </c>
      <c r="F9" s="22">
        <v>556</v>
      </c>
      <c r="G9" s="22">
        <v>324</v>
      </c>
      <c r="H9" s="22">
        <v>321</v>
      </c>
      <c r="I9" s="22">
        <v>11481</v>
      </c>
      <c r="J9" s="22">
        <v>26443</v>
      </c>
      <c r="L9" s="18" t="s">
        <v>383</v>
      </c>
      <c r="M9" s="26">
        <f t="shared" si="0"/>
        <v>2036</v>
      </c>
      <c r="N9" s="27">
        <f t="shared" si="1"/>
        <v>5727</v>
      </c>
      <c r="O9" s="28">
        <f t="shared" si="2"/>
        <v>0.35550899249170598</v>
      </c>
    </row>
    <row r="10" spans="1:15" x14ac:dyDescent="0.2">
      <c r="L10" s="18" t="s">
        <v>364</v>
      </c>
      <c r="M10" s="26">
        <f t="shared" si="0"/>
        <v>0</v>
      </c>
      <c r="N10" s="27">
        <f t="shared" si="1"/>
        <v>321</v>
      </c>
      <c r="O10" s="28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marketing_perf</vt:lpstr>
      <vt:lpstr>signups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Biswas Hrittik</cp:lastModifiedBy>
  <dcterms:created xsi:type="dcterms:W3CDTF">2011-03-09T05:01:36Z</dcterms:created>
  <dcterms:modified xsi:type="dcterms:W3CDTF">2026-04-04T11:35:14Z</dcterms:modified>
</cp:coreProperties>
</file>