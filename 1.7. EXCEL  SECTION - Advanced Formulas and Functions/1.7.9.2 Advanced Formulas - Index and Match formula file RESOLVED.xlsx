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travis/Dropbox/Data Handling in Excel/08 Fast Lookup with INDEX and MATCH/"/>
    </mc:Choice>
  </mc:AlternateContent>
  <bookViews>
    <workbookView xWindow="10240" yWindow="5760" windowWidth="25600" windowHeight="14400" activeTab="1"/>
  </bookViews>
  <sheets>
    <sheet name="dashboard" sheetId="9" r:id="rId1"/>
    <sheet name="marketing_perf" sheetId="6" r:id="rId2"/>
    <sheet name="signups" sheetId="8" r:id="rId3"/>
    <sheet name="misc" sheetId="10" r:id="rId4"/>
  </sheets>
  <definedNames>
    <definedName name="_xlnm._FilterDatabase" localSheetId="1" hidden="1">marketing_perf!#REF!</definedName>
    <definedName name="CAMPAIGN">marketing_perf!$B$2:$B$381</definedName>
    <definedName name="CATEGORY">marketing_perf!$C$2:$C$381</definedName>
    <definedName name="MARKETING_HEADERS">marketing_perf!$A$1:$H$1</definedName>
    <definedName name="MARKETING_PERF">marketing_perf!$A$1:$H$381</definedName>
    <definedName name="UNIQUE_KEYPHRASES">marketing_perf!$A$1:$A$381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2" i="6"/>
  <c r="L3" i="6"/>
  <c r="L4" i="6"/>
  <c r="L5" i="6"/>
  <c r="L6" i="6"/>
  <c r="L7" i="6"/>
  <c r="L8" i="6"/>
  <c r="L9" i="6"/>
  <c r="L10" i="6"/>
  <c r="L11" i="6"/>
  <c r="L2" i="6"/>
  <c r="K3" i="6"/>
  <c r="K4" i="6"/>
  <c r="K5" i="6"/>
  <c r="K6" i="6"/>
  <c r="K7" i="6"/>
  <c r="K8" i="6"/>
  <c r="K9" i="6"/>
  <c r="K10" i="6"/>
  <c r="K11" i="6"/>
  <c r="K2" i="6"/>
  <c r="P16" i="6"/>
  <c r="P15" i="6"/>
  <c r="P10" i="6"/>
  <c r="P9" i="6"/>
  <c r="P7" i="6"/>
  <c r="P2" i="6"/>
  <c r="P3" i="6"/>
  <c r="P4" i="6"/>
  <c r="P6" i="6"/>
  <c r="P5" i="6"/>
  <c r="M6" i="9"/>
  <c r="L6" i="9"/>
  <c r="K6" i="9"/>
  <c r="J6" i="9"/>
  <c r="L3" i="9"/>
  <c r="F6" i="9"/>
  <c r="E6" i="9"/>
  <c r="D6" i="9"/>
  <c r="C6" i="9"/>
  <c r="E3" i="9"/>
  <c r="O5" i="8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</calcChain>
</file>

<file path=xl/sharedStrings.xml><?xml version="1.0" encoding="utf-8"?>
<sst xmlns="http://schemas.openxmlformats.org/spreadsheetml/2006/main" count="1232" uniqueCount="423">
  <si>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</si>
  <si>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</si>
  <si>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</si>
  <si>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</si>
  <si>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</si>
  <si>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</si>
  <si>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</si>
  <si>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</si>
  <si>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</si>
  <si>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</si>
  <si>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</si>
  <si>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</si>
  <si>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</si>
  <si>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</si>
  <si>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</si>
  <si>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</si>
  <si>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</si>
  <si>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</si>
  <si>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</si>
  <si>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</si>
  <si>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</si>
  <si>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</si>
  <si>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</si>
  <si>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</si>
  <si>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</si>
  <si>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</si>
  <si>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</si>
  <si>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</si>
  <si>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</si>
  <si>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</si>
  <si>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</si>
  <si>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</si>
  <si>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</si>
  <si>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</si>
  <si>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</si>
  <si>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</si>
  <si>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</si>
  <si>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</si>
  <si>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</si>
  <si>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</si>
  <si>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</si>
  <si>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</si>
  <si>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</si>
  <si>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</si>
  <si>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</si>
  <si>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</si>
  <si>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</si>
  <si>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</si>
  <si>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</si>
  <si>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</si>
  <si>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</si>
  <si>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</si>
  <si>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</si>
  <si>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</si>
  <si>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</si>
  <si>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</si>
  <si>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</si>
  <si>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</si>
  <si>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</si>
  <si>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</si>
  <si>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</si>
  <si>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</si>
  <si>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</si>
  <si>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</si>
  <si>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</si>
  <si>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</si>
  <si>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</si>
  <si>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</si>
  <si>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</si>
  <si>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</si>
  <si>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</si>
  <si>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</si>
  <si>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</si>
  <si>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</si>
  <si>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</si>
  <si>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</si>
  <si>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</si>
  <si>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</si>
  <si>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</si>
  <si>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</si>
  <si>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</si>
  <si>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</si>
  <si>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</si>
  <si>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</si>
  <si>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</si>
  <si>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</si>
  <si>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</si>
  <si>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</si>
  <si>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</si>
  <si>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</si>
  <si>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</si>
  <si>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</si>
  <si>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</si>
  <si>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</si>
  <si>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</si>
  <si>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</si>
  <si>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</si>
  <si>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</si>
  <si>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</si>
  <si>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</si>
  <si>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</si>
  <si>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</si>
  <si>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</si>
  <si>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</si>
  <si>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</si>
  <si>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</si>
  <si>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</si>
  <si>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</si>
  <si>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</si>
  <si>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</si>
  <si>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</si>
  <si>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</si>
  <si>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</si>
  <si>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</si>
  <si>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</si>
  <si>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</si>
  <si>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</si>
  <si>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</si>
  <si>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</si>
  <si>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</si>
  <si>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</si>
  <si>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</si>
  <si>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</si>
  <si>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</si>
  <si>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</si>
  <si>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</si>
  <si>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</si>
  <si>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</si>
  <si>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</si>
  <si>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</si>
  <si>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</si>
  <si>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</si>
  <si>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</si>
  <si>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</si>
  <si>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</si>
  <si>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</si>
  <si>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</si>
  <si>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</si>
  <si>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</si>
  <si>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</si>
  <si>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</si>
  <si>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</si>
  <si>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</si>
  <si>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</si>
  <si>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</si>
  <si>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</si>
  <si>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</si>
  <si>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</si>
  <si>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</si>
  <si>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</si>
  <si>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</si>
  <si>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</si>
  <si>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</si>
  <si>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</si>
  <si>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</si>
  <si>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</si>
  <si>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</si>
  <si>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</si>
  <si>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</si>
  <si>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</si>
  <si>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</si>
  <si>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</si>
  <si>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</si>
  <si>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</si>
  <si>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</si>
  <si>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</si>
  <si>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</si>
  <si>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</si>
  <si>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</si>
  <si>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</si>
  <si>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</si>
  <si>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</si>
  <si>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</si>
  <si>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</si>
  <si>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</si>
  <si>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</si>
  <si>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</si>
  <si>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</si>
  <si>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</si>
  <si>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</si>
  <si>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</si>
  <si>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</si>
  <si>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</si>
  <si>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</si>
  <si>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</si>
  <si>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</si>
  <si>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</si>
  <si>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</si>
  <si>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</si>
  <si>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</si>
  <si>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</si>
  <si>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</si>
  <si>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</si>
  <si>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</si>
  <si>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</si>
  <si>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</si>
  <si>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</si>
  <si>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</si>
  <si>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</si>
  <si>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</si>
  <si>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</si>
  <si>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</si>
  <si>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</si>
  <si>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</si>
  <si>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</si>
  <si>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</si>
  <si>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</si>
  <si>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</si>
  <si>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</si>
  <si>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</si>
  <si>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</si>
  <si>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</si>
  <si>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</si>
  <si>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</si>
  <si>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</si>
  <si>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</si>
  <si>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</si>
  <si>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</si>
  <si>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</si>
  <si>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</si>
  <si>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</si>
  <si>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</si>
  <si>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</si>
  <si>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</si>
  <si>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</si>
  <si>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</si>
  <si>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</si>
  <si>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</si>
  <si>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</si>
  <si>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</si>
  <si>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</si>
  <si>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</si>
  <si>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</si>
  <si>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</si>
  <si>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</si>
  <si>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</si>
  <si>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</si>
  <si>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</si>
  <si>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</si>
  <si>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</si>
  <si>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</si>
  <si>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</si>
  <si>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</si>
  <si>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</si>
  <si>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</si>
  <si>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</si>
  <si>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</si>
  <si>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</si>
  <si>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</si>
  <si>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</si>
  <si>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</si>
  <si>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</si>
  <si>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</si>
  <si>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</si>
  <si>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</si>
  <si>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</si>
  <si>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</si>
  <si>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</si>
  <si>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</si>
  <si>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</si>
  <si>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</si>
  <si>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</si>
  <si>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</si>
  <si>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</si>
  <si>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</si>
  <si>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</si>
  <si>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</si>
  <si>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</si>
  <si>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</si>
  <si>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</si>
  <si>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</si>
  <si>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</si>
  <si>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</si>
  <si>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</si>
  <si>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</si>
  <si>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</si>
  <si>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</si>
  <si>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</si>
  <si>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</si>
  <si>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</si>
  <si>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</si>
  <si>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</si>
  <si>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</si>
  <si>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</si>
  <si>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</si>
  <si>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</si>
  <si>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</si>
  <si>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</si>
  <si>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</si>
  <si>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</si>
  <si>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</si>
  <si>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</si>
  <si>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</si>
  <si>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</si>
  <si>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</si>
  <si>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</si>
  <si>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</si>
  <si>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</si>
  <si>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</si>
  <si>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</si>
  <si>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</si>
  <si>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</si>
  <si>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</si>
  <si>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</si>
  <si>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</si>
  <si>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</si>
  <si>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</si>
  <si>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</si>
  <si>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</si>
  <si>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</si>
  <si>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</si>
  <si>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</si>
  <si>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</si>
  <si>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</si>
  <si>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</si>
  <si>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</si>
  <si>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</si>
  <si>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</si>
  <si>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</si>
  <si>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</si>
  <si>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</si>
  <si>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</si>
  <si>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</si>
  <si>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</si>
  <si>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</si>
  <si>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</si>
  <si>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</si>
  <si>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</si>
  <si>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</si>
  <si>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</si>
  <si>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</si>
  <si>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</si>
  <si>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</si>
  <si>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</si>
  <si>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</si>
  <si>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</si>
  <si>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</si>
  <si>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</si>
  <si>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</si>
  <si>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</si>
  <si>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</si>
  <si>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</si>
  <si>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</si>
  <si>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</si>
  <si>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</si>
  <si>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</si>
  <si>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</si>
  <si>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</si>
  <si>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</si>
  <si>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</si>
  <si>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</si>
  <si>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</si>
  <si>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</si>
  <si>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</si>
  <si>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</si>
  <si>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</si>
  <si>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</si>
  <si>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</si>
  <si>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</si>
  <si>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</si>
  <si>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</si>
  <si>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</si>
  <si>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</si>
  <si>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</si>
  <si>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</si>
  <si>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</si>
  <si>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</si>
  <si>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</si>
  <si>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</si>
  <si>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</si>
  <si>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</si>
  <si>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</si>
  <si>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</si>
  <si>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</si>
  <si>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</si>
  <si>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</si>
  <si>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</si>
  <si>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</si>
  <si>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</si>
  <si>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</si>
  <si>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</si>
  <si>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</si>
  <si>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</si>
  <si>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</si>
  <si>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</si>
  <si>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</si>
  <si>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</si>
  <si>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</si>
  <si>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</si>
  <si>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</si>
  <si>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</si>
  <si>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</si>
  <si>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</si>
  <si>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</si>
  <si>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</si>
  <si>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</si>
  <si>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</si>
  <si>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</si>
  <si>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</si>
  <si>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</si>
  <si>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</si>
  <si>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</si>
  <si>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</si>
  <si>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</si>
  <si>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Conv</t>
  </si>
  <si>
    <t>Choose Category:</t>
  </si>
  <si>
    <t>key phrases</t>
  </si>
  <si>
    <t>Choose Campaign:</t>
  </si>
  <si>
    <t>Unique Campaign</t>
  </si>
  <si>
    <t>Unique Category</t>
  </si>
  <si>
    <t>Trending</t>
  </si>
  <si>
    <t>INDEX of a Row</t>
  </si>
  <si>
    <t>INDEX of a Column</t>
  </si>
  <si>
    <t>INDEX of an Array</t>
  </si>
  <si>
    <t>INDEX of a Reference Error</t>
  </si>
  <si>
    <t>INDEX of a Reference Array</t>
  </si>
  <si>
    <t>INDEX of a Reference Row</t>
  </si>
  <si>
    <t>MATCH in a Column</t>
  </si>
  <si>
    <t>MATCH in a Row</t>
  </si>
  <si>
    <t>Metric to lookup</t>
  </si>
  <si>
    <t>Key Phrase to Lookup</t>
  </si>
  <si>
    <t>MATCH + INDEX lookup</t>
  </si>
  <si>
    <t>VLOOKUP lookup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</si>
</sst>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[$-409]mmm\-yy;@"/>
    <numFmt numFmtId="166" formatCode="_(* #,##0_);_(* \(#,##0\);_(* &quot;-&quot;??_);_(@_)"/>
    <numFmt numFmtId="167" formatCode="_([$$-409]* #,##0.00_);_([$$-409]* \(#,##0.00\);_([$$-409]* &quot;-&quot;??_);_(@_)"/>
  </numFmts>
  <fonts count="3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rgb="FF595959"/>
      <name val="Calibri"/>
      <family val="2"/>
      <scheme val="minor"/>
    </font>
    <font>
      <sz val="12"/>
      <name val="Calibri"/>
      <family val="2"/>
      <scheme val="minor"/>
    </font>
    <font>
      <sz val="12"/>
      <color theme="1" tint="0.1499984740745262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7D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7">
    <xf numFmtId="0" fontId="0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3" fillId="32" borderId="0" applyNumberFormat="0" applyBorder="0" applyAlignment="0" applyProtection="0"/>
    <xf numFmtId="44" fontId="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56">
    <xf numFmtId="0" fontId="0" fillId="0" borderId="0" xfId="0"/>
    <xf numFmtId="0" fontId="24" fillId="33" borderId="0" xfId="0" applyFont="1" applyFill="1"/>
    <xf numFmtId="165" fontId="24" fillId="33" borderId="0" xfId="0" applyNumberFormat="1" applyFont="1" applyFill="1"/>
    <xf numFmtId="0" fontId="25" fillId="0" borderId="0" xfId="0" applyFont="1"/>
    <xf numFmtId="165" fontId="25" fillId="0" borderId="0" xfId="0" applyNumberFormat="1" applyFont="1"/>
    <xf numFmtId="3" fontId="25" fillId="0" borderId="0" xfId="0" applyNumberFormat="1" applyFont="1"/>
    <xf numFmtId="0" fontId="6" fillId="0" borderId="0" xfId="0" applyFont="1"/>
    <xf numFmtId="164" fontId="6" fillId="0" borderId="0" xfId="42" applyNumberFormat="1" applyFont="1"/>
    <xf numFmtId="164" fontId="24" fillId="33" borderId="0" xfId="42" applyNumberFormat="1" applyFont="1" applyFill="1" applyAlignment="1">
      <alignment horizontal="right"/>
    </xf>
    <xf numFmtId="164" fontId="25" fillId="0" borderId="0" xfId="42" applyNumberFormat="1" applyFont="1"/>
    <xf numFmtId="164" fontId="6" fillId="0" borderId="0" xfId="0" applyNumberFormat="1" applyFont="1"/>
    <xf numFmtId="0" fontId="5" fillId="0" borderId="0" xfId="0" applyFont="1"/>
    <xf numFmtId="0" fontId="24" fillId="36" borderId="0" xfId="0" applyFont="1" applyFill="1"/>
    <xf numFmtId="166" fontId="5" fillId="0" borderId="0" xfId="47" applyNumberFormat="1" applyFont="1"/>
    <xf numFmtId="0" fontId="24" fillId="36" borderId="0" xfId="0" applyFont="1" applyFill="1" applyAlignment="1">
      <alignment horizontal="right"/>
    </xf>
    <xf numFmtId="166" fontId="5" fillId="37" borderId="0" xfId="47" applyNumberFormat="1" applyFont="1" applyFill="1"/>
    <xf numFmtId="0" fontId="28" fillId="0" borderId="0" xfId="0" applyFont="1"/>
    <xf numFmtId="0" fontId="24" fillId="38" borderId="0" xfId="0" applyFont="1" applyFill="1" applyAlignment="1">
      <alignment horizontal="left"/>
    </xf>
    <xf numFmtId="0" fontId="24" fillId="38" borderId="0" xfId="0" applyFont="1" applyFill="1" applyAlignment="1">
      <alignment horizontal="right"/>
    </xf>
    <xf numFmtId="166" fontId="5" fillId="34" borderId="0" xfId="47" applyNumberFormat="1" applyFont="1" applyFill="1"/>
    <xf numFmtId="166" fontId="5" fillId="35" borderId="0" xfId="47" applyNumberFormat="1" applyFont="1" applyFill="1"/>
    <xf numFmtId="9" fontId="5" fillId="35" borderId="0" xfId="48" applyFont="1" applyFill="1"/>
    <xf numFmtId="164" fontId="24" fillId="39" borderId="0" xfId="0" applyNumberFormat="1" applyFont="1" applyFill="1" applyAlignment="1">
      <alignment horizontal="right"/>
    </xf>
    <xf numFmtId="0" fontId="4" fillId="0" borderId="0" xfId="0" applyFont="1"/>
    <xf numFmtId="0" fontId="4" fillId="40" borderId="0" xfId="0" applyFont="1" applyFill="1"/>
    <xf numFmtId="0" fontId="24" fillId="40" borderId="0" xfId="0" applyFont="1" applyFill="1" applyAlignment="1">
      <alignment horizontal="right"/>
    </xf>
    <xf numFmtId="0" fontId="24" fillId="40" borderId="0" xfId="0" applyFont="1" applyFill="1"/>
    <xf numFmtId="166" fontId="29" fillId="0" borderId="0" xfId="47" applyNumberFormat="1" applyFont="1" applyFill="1"/>
    <xf numFmtId="0" fontId="29" fillId="40" borderId="0" xfId="0" applyFont="1" applyFill="1"/>
    <xf numFmtId="167" fontId="29" fillId="0" borderId="0" xfId="47" applyNumberFormat="1" applyFont="1" applyFill="1"/>
    <xf numFmtId="0" fontId="24" fillId="33" borderId="0" xfId="0" applyFont="1" applyFill="1" applyAlignment="1">
      <alignment horizontal="left"/>
    </xf>
    <xf numFmtId="2" fontId="24" fillId="33" borderId="0" xfId="0" applyNumberFormat="1" applyFont="1" applyFill="1" applyAlignment="1">
      <alignment horizontal="left"/>
    </xf>
    <xf numFmtId="0" fontId="30" fillId="35" borderId="10" xfId="0" applyFont="1" applyFill="1" applyBorder="1"/>
    <xf numFmtId="0" fontId="24" fillId="39" borderId="0" xfId="0" applyFont="1" applyFill="1" applyAlignment="1">
      <alignment horizontal="left"/>
    </xf>
    <xf numFmtId="2" fontId="24" fillId="39" borderId="0" xfId="0" applyNumberFormat="1" applyFont="1" applyFill="1" applyAlignment="1">
      <alignment horizontal="left"/>
    </xf>
    <xf numFmtId="0" fontId="31" fillId="40" borderId="0" xfId="0" applyFont="1" applyFill="1"/>
    <xf numFmtId="0" fontId="30" fillId="40" borderId="0" xfId="0" applyFont="1" applyFill="1"/>
    <xf numFmtId="167" fontId="30" fillId="35" borderId="0" xfId="47" applyNumberFormat="1" applyFont="1" applyFill="1"/>
    <xf numFmtId="166" fontId="30" fillId="35" borderId="0" xfId="47" applyNumberFormat="1" applyFont="1" applyFill="1"/>
    <xf numFmtId="0" fontId="30" fillId="41" borderId="10" xfId="0" applyFont="1" applyFill="1" applyBorder="1"/>
    <xf numFmtId="0" fontId="3" fillId="0" borderId="0" xfId="0" applyFont="1"/>
    <xf numFmtId="0" fontId="24" fillId="38" borderId="0" xfId="0" applyFont="1" applyFill="1"/>
    <xf numFmtId="0" fontId="32" fillId="0" borderId="0" xfId="0" applyFont="1"/>
    <xf numFmtId="0" fontId="6" fillId="34" borderId="0" xfId="0" applyFont="1" applyFill="1"/>
    <xf numFmtId="1" fontId="33" fillId="34" borderId="0" xfId="0" applyNumberFormat="1" applyFont="1" applyFill="1"/>
    <xf numFmtId="0" fontId="24" fillId="39" borderId="0" xfId="0" applyFont="1" applyFill="1"/>
    <xf numFmtId="0" fontId="24" fillId="39" borderId="0" xfId="0" applyFont="1" applyFill="1" applyAlignment="1">
      <alignment horizontal="right"/>
    </xf>
    <xf numFmtId="0" fontId="34" fillId="0" borderId="0" xfId="0" applyFont="1"/>
    <xf numFmtId="0" fontId="34" fillId="34" borderId="0" xfId="0" applyFont="1" applyFill="1"/>
    <xf numFmtId="164" fontId="34" fillId="34" borderId="0" xfId="0" applyNumberFormat="1" applyFont="1" applyFill="1"/>
    <xf numFmtId="164" fontId="34" fillId="35" borderId="0" xfId="0" applyNumberFormat="1" applyFont="1" applyFill="1"/>
    <xf numFmtId="0" fontId="2" fillId="42" borderId="10" xfId="0" applyFont="1" applyFill="1" applyBorder="1"/>
    <xf numFmtId="1" fontId="6" fillId="34" borderId="0" xfId="42" applyNumberFormat="1" applyFont="1" applyFill="1"/>
    <xf numFmtId="1" fontId="6" fillId="34" borderId="0" xfId="0" applyNumberFormat="1" applyFont="1" applyFill="1"/>
    <xf numFmtId="0" fontId="5" fillId="0" borderId="0" xfId="0" applyFont="1" applyAlignment="1">
      <alignment horizontal="center" textRotation="90"/>
    </xf>
    <xf numFmtId="0" fontId="1" fillId="0" borderId="0" xfId="0" quotePrefix="1" applyFont="1"/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zoomScale="130" zoomScaleNormal="130" workbookViewId="0"/>
  </sheetViews>
  <sheetFormatPr baseColWidth="10" defaultRowHeight="16" x14ac:dyDescent="0.2"/>
  <cols>
    <col min="1" max="1" width="4.33203125" style="23" customWidth="1"/>
    <col min="2" max="2" width="5.6640625" style="23" customWidth="1"/>
    <col min="3" max="3" width="15" style="23" customWidth="1"/>
    <col min="4" max="4" width="10.33203125" style="23" customWidth="1"/>
    <col min="5" max="5" width="10.1640625" style="23" customWidth="1"/>
    <col min="6" max="6" width="14.1640625" style="23" customWidth="1"/>
    <col min="7" max="7" width="5.83203125" style="23" customWidth="1"/>
    <col min="8" max="8" width="4.6640625" style="23" customWidth="1"/>
    <col min="9" max="9" width="5.6640625" style="23" customWidth="1"/>
    <col min="10" max="10" width="15" style="23" customWidth="1"/>
    <col min="11" max="11" width="10.33203125" style="23" customWidth="1"/>
    <col min="12" max="12" width="10.1640625" style="23" customWidth="1"/>
    <col min="13" max="13" width="14.1640625" style="23" customWidth="1"/>
    <col min="14" max="14" width="5.83203125" style="23" customWidth="1"/>
    <col min="15" max="16384" width="10.83203125" style="23"/>
  </cols>
  <sheetData>
    <row r="1" spans="2:14" x14ac:dyDescent="0.2">
      <c r="B1" s="24"/>
      <c r="C1" s="24"/>
      <c r="D1" s="24"/>
      <c r="E1" s="24"/>
      <c r="F1" s="24"/>
      <c r="G1" s="24"/>
      <c r="I1" s="24"/>
      <c r="J1" s="24"/>
      <c r="K1" s="24"/>
      <c r="L1" s="24"/>
      <c r="M1" s="24"/>
      <c r="N1" s="24"/>
    </row>
    <row r="2" spans="2:14" x14ac:dyDescent="0.2">
      <c r="B2" s="26"/>
      <c r="C2" s="35" t="s">
        <v>405</v>
      </c>
      <c r="D2" s="24"/>
      <c r="E2" s="24"/>
      <c r="F2" s="24"/>
      <c r="G2" s="24"/>
      <c r="I2" s="26"/>
      <c r="J2" s="35" t="s">
        <v>407</v>
      </c>
      <c r="K2" s="24"/>
      <c r="L2" s="24"/>
      <c r="M2" s="24"/>
      <c r="N2" s="24"/>
    </row>
    <row r="3" spans="2:14" x14ac:dyDescent="0.2">
      <c r="B3" s="25"/>
      <c r="C3" s="39" t="s">
        <v>313</v>
      </c>
      <c r="D3" s="24"/>
      <c r="E3" s="27">
        <f>COUNTIF(CATEGORY,dashboard!$C$3)</f>
        <v>186</v>
      </c>
      <c r="F3" s="28" t="s">
        <v>406</v>
      </c>
      <c r="G3" s="24"/>
      <c r="I3" s="25"/>
      <c r="J3" s="32" t="s">
        <v>237</v>
      </c>
      <c r="K3" s="24"/>
      <c r="L3" s="38">
        <f>COUNTIF(CAMPAIGN,dashboard!$J$3)</f>
        <v>89</v>
      </c>
      <c r="M3" s="36" t="s">
        <v>406</v>
      </c>
      <c r="N3" s="24"/>
    </row>
    <row r="4" spans="2:14" x14ac:dyDescent="0.2">
      <c r="B4" s="24"/>
      <c r="C4" s="24"/>
      <c r="D4" s="24"/>
      <c r="E4" s="24"/>
      <c r="F4" s="24"/>
      <c r="G4" s="24"/>
      <c r="I4" s="24"/>
      <c r="J4" s="24"/>
      <c r="K4" s="24"/>
      <c r="L4" s="24"/>
      <c r="M4" s="24"/>
      <c r="N4" s="24"/>
    </row>
    <row r="5" spans="2:14" x14ac:dyDescent="0.2">
      <c r="B5" s="24"/>
      <c r="C5" s="30" t="s">
        <v>381</v>
      </c>
      <c r="D5" s="31" t="s">
        <v>399</v>
      </c>
      <c r="E5" s="31" t="s">
        <v>404</v>
      </c>
      <c r="F5" s="31" t="s">
        <v>389</v>
      </c>
      <c r="G5" s="24"/>
      <c r="I5" s="24"/>
      <c r="J5" s="33" t="s">
        <v>381</v>
      </c>
      <c r="K5" s="34" t="s">
        <v>399</v>
      </c>
      <c r="L5" s="34" t="s">
        <v>404</v>
      </c>
      <c r="M5" s="34" t="s">
        <v>389</v>
      </c>
      <c r="N5" s="24"/>
    </row>
    <row r="6" spans="2:14" x14ac:dyDescent="0.2">
      <c r="B6" s="24"/>
      <c r="C6" s="29">
        <f>SUMIF(CATEGORY,dashboard!$C$3,marketing_perf!H2:H381)</f>
        <v>9601.3100000000013</v>
      </c>
      <c r="D6" s="27">
        <f>SUMIF(CATEGORY,dashboard!$C$3,marketing_perf!E2:E381)</f>
        <v>11481</v>
      </c>
      <c r="E6" s="27">
        <f>SUMIF(CATEGORY,dashboard!$C$3,marketing_perf!F2:F381)</f>
        <v>266</v>
      </c>
      <c r="F6" s="29">
        <f>SUMIF(CATEGORY,dashboard!$C$3,marketing_perf!G2:G381)</f>
        <v>21289.690000000006</v>
      </c>
      <c r="G6" s="24"/>
      <c r="I6" s="24"/>
      <c r="J6" s="37">
        <f>SUMIF(CAMPAIGN,dashboard!J$3,marketing_perf!H2:H381)</f>
        <v>10614.049999999994</v>
      </c>
      <c r="K6" s="38">
        <f>SUMIF(CAMPAIGN,dashboard!J$3,marketing_perf!E2:E381)</f>
        <v>8705</v>
      </c>
      <c r="L6" s="38">
        <f>SUMIF(CAMPAIGN,dashboard!J$3,marketing_perf!F2:F381)</f>
        <v>224</v>
      </c>
      <c r="M6" s="37">
        <f>SUMIF(CAMPAIGN,dashboard!J$3,marketing_perf!G2:G381)</f>
        <v>17506.200000000004</v>
      </c>
      <c r="N6" s="24"/>
    </row>
    <row r="7" spans="2:14" x14ac:dyDescent="0.2">
      <c r="B7" s="24"/>
      <c r="C7" s="24"/>
      <c r="D7" s="24"/>
      <c r="E7" s="24"/>
      <c r="F7" s="24"/>
      <c r="G7" s="24"/>
      <c r="I7" s="24"/>
      <c r="J7" s="24"/>
      <c r="K7" s="24"/>
      <c r="L7" s="24"/>
      <c r="M7" s="24"/>
      <c r="N7" s="24"/>
    </row>
    <row r="8" spans="2:14" x14ac:dyDescent="0.2">
      <c r="B8" s="24"/>
      <c r="C8" s="24"/>
      <c r="D8" s="24"/>
      <c r="E8" s="24"/>
      <c r="F8" s="24"/>
      <c r="G8" s="24"/>
      <c r="I8" s="24"/>
      <c r="J8" s="24"/>
      <c r="K8" s="24"/>
      <c r="L8" s="24"/>
      <c r="M8" s="24"/>
      <c r="N8" s="24"/>
    </row>
    <row r="9" spans="2:14" x14ac:dyDescent="0.2">
      <c r="B9" s="24"/>
      <c r="C9" s="24"/>
      <c r="D9" s="24"/>
      <c r="E9" s="24"/>
      <c r="F9" s="24"/>
      <c r="G9" s="24"/>
      <c r="I9" s="24"/>
      <c r="J9" s="24"/>
      <c r="K9" s="24"/>
      <c r="L9" s="24"/>
      <c r="M9" s="24"/>
      <c r="N9" s="24"/>
    </row>
    <row r="10" spans="2:14" x14ac:dyDescent="0.2">
      <c r="B10" s="24"/>
      <c r="C10" s="24"/>
      <c r="D10" s="24"/>
      <c r="E10" s="24"/>
      <c r="F10" s="24"/>
      <c r="G10" s="24"/>
      <c r="I10" s="24"/>
      <c r="J10" s="24"/>
      <c r="K10" s="24"/>
      <c r="L10" s="24"/>
      <c r="M10" s="24"/>
      <c r="N10" s="24"/>
    </row>
    <row r="11" spans="2:14" x14ac:dyDescent="0.2">
      <c r="B11" s="24"/>
      <c r="C11" s="24"/>
      <c r="D11" s="24"/>
      <c r="E11" s="24"/>
      <c r="F11" s="24"/>
      <c r="G11" s="24"/>
      <c r="I11" s="24"/>
      <c r="J11" s="24"/>
      <c r="K11" s="24"/>
      <c r="L11" s="24"/>
      <c r="M11" s="24"/>
      <c r="N11" s="24"/>
    </row>
    <row r="12" spans="2:14" x14ac:dyDescent="0.2">
      <c r="B12" s="24"/>
      <c r="C12" s="24"/>
      <c r="D12" s="24"/>
      <c r="E12" s="24"/>
      <c r="F12" s="24"/>
      <c r="G12" s="24"/>
      <c r="I12" s="24"/>
      <c r="J12" s="24"/>
      <c r="K12" s="24"/>
      <c r="L12" s="24"/>
      <c r="M12" s="24"/>
      <c r="N12" s="24"/>
    </row>
    <row r="13" spans="2:14" x14ac:dyDescent="0.2">
      <c r="B13" s="24"/>
      <c r="C13" s="24"/>
      <c r="D13" s="24"/>
      <c r="E13" s="24"/>
      <c r="F13" s="24"/>
      <c r="G13" s="24"/>
      <c r="I13" s="24"/>
      <c r="J13" s="24"/>
      <c r="K13" s="24"/>
      <c r="L13" s="24"/>
      <c r="M13" s="24"/>
      <c r="N13" s="24"/>
    </row>
    <row r="14" spans="2:14" x14ac:dyDescent="0.2">
      <c r="B14" s="24"/>
      <c r="C14" s="24"/>
      <c r="D14" s="24"/>
      <c r="E14" s="24"/>
      <c r="F14" s="24"/>
      <c r="G14" s="24"/>
      <c r="I14" s="24"/>
      <c r="J14" s="24"/>
      <c r="K14" s="24"/>
      <c r="L14" s="24"/>
      <c r="M14" s="24"/>
      <c r="N14" s="24"/>
    </row>
    <row r="15" spans="2:14" x14ac:dyDescent="0.2">
      <c r="B15" s="24"/>
      <c r="C15" s="24"/>
      <c r="D15" s="24"/>
      <c r="E15" s="24"/>
      <c r="F15" s="24"/>
      <c r="G15" s="24"/>
      <c r="I15" s="24"/>
      <c r="J15" s="24"/>
      <c r="K15" s="24"/>
      <c r="L15" s="24"/>
      <c r="M15" s="24"/>
      <c r="N15" s="24"/>
    </row>
    <row r="16" spans="2:14" x14ac:dyDescent="0.2">
      <c r="B16" s="24"/>
      <c r="C16" s="24"/>
      <c r="D16" s="24"/>
      <c r="E16" s="24"/>
      <c r="F16" s="24"/>
      <c r="G16" s="24"/>
      <c r="I16" s="24"/>
      <c r="J16" s="24"/>
      <c r="K16" s="24"/>
      <c r="L16" s="24"/>
      <c r="M16" s="24"/>
      <c r="N16" s="24"/>
    </row>
    <row r="17" spans="2:14" x14ac:dyDescent="0.2">
      <c r="B17" s="24"/>
      <c r="C17" s="24"/>
      <c r="D17" s="24"/>
      <c r="E17" s="24"/>
      <c r="F17" s="24"/>
      <c r="G17" s="24"/>
      <c r="I17" s="24"/>
      <c r="J17" s="24"/>
      <c r="K17" s="24"/>
      <c r="L17" s="24"/>
      <c r="M17" s="24"/>
      <c r="N17" s="24"/>
    </row>
    <row r="18" spans="2:14" x14ac:dyDescent="0.2">
      <c r="B18" s="24"/>
      <c r="C18" s="24"/>
      <c r="D18" s="24"/>
      <c r="E18" s="24"/>
      <c r="F18" s="24"/>
      <c r="G18" s="24"/>
      <c r="I18" s="24"/>
      <c r="J18" s="24"/>
      <c r="K18" s="24"/>
      <c r="L18" s="24"/>
      <c r="M18" s="24"/>
      <c r="N18" s="24"/>
    </row>
    <row r="19" spans="2:14" x14ac:dyDescent="0.2">
      <c r="B19" s="24"/>
      <c r="C19" s="24"/>
      <c r="D19" s="24"/>
      <c r="E19" s="24"/>
      <c r="F19" s="24"/>
      <c r="G19" s="24"/>
      <c r="I19" s="24"/>
      <c r="J19" s="24"/>
      <c r="K19" s="24"/>
      <c r="L19" s="24"/>
      <c r="M19" s="24"/>
      <c r="N19" s="24"/>
    </row>
    <row r="20" spans="2:14" x14ac:dyDescent="0.2">
      <c r="B20" s="24"/>
      <c r="C20" s="24"/>
      <c r="D20" s="24"/>
      <c r="E20" s="24"/>
      <c r="F20" s="24"/>
      <c r="G20" s="24"/>
      <c r="I20" s="24"/>
      <c r="J20" s="24"/>
      <c r="K20" s="24"/>
      <c r="L20" s="24"/>
      <c r="M20" s="24"/>
      <c r="N20" s="24"/>
    </row>
    <row r="21" spans="2:14" x14ac:dyDescent="0.2">
      <c r="B21" s="24"/>
      <c r="C21" s="24"/>
      <c r="D21" s="24"/>
      <c r="E21" s="24"/>
      <c r="F21" s="24"/>
      <c r="G21" s="24"/>
      <c r="I21" s="24"/>
      <c r="J21" s="24"/>
      <c r="K21" s="24"/>
      <c r="L21" s="24"/>
      <c r="M21" s="24"/>
      <c r="N21" s="24"/>
    </row>
    <row r="22" spans="2:14" x14ac:dyDescent="0.2">
      <c r="B22" s="24"/>
      <c r="C22" s="24"/>
      <c r="D22" s="24"/>
      <c r="E22" s="24"/>
      <c r="F22" s="24"/>
      <c r="G22" s="24"/>
      <c r="I22" s="24"/>
      <c r="J22" s="24"/>
      <c r="K22" s="24"/>
      <c r="L22" s="24"/>
      <c r="M22" s="24"/>
      <c r="N22" s="24"/>
    </row>
    <row r="23" spans="2:14" x14ac:dyDescent="0.2">
      <c r="B23" s="24"/>
      <c r="C23" s="24"/>
      <c r="D23" s="24"/>
      <c r="E23" s="24"/>
      <c r="F23" s="24"/>
      <c r="G23" s="24"/>
      <c r="I23" s="24"/>
      <c r="J23" s="24"/>
      <c r="K23" s="24"/>
      <c r="L23" s="24"/>
      <c r="M23" s="24"/>
      <c r="N23" s="24"/>
    </row>
    <row r="24" spans="2:14" x14ac:dyDescent="0.2">
      <c r="B24" s="24"/>
      <c r="C24" s="24"/>
      <c r="D24" s="24"/>
      <c r="E24" s="24"/>
      <c r="F24" s="24"/>
      <c r="G24" s="24"/>
      <c r="I24" s="24"/>
      <c r="J24" s="24"/>
      <c r="K24" s="24"/>
      <c r="L24" s="24"/>
      <c r="M24" s="24"/>
      <c r="N24" s="24"/>
    </row>
    <row r="25" spans="2:14" x14ac:dyDescent="0.2">
      <c r="B25" s="24"/>
      <c r="C25" s="24"/>
      <c r="D25" s="24"/>
      <c r="E25" s="24"/>
      <c r="F25" s="24"/>
      <c r="G25" s="24"/>
      <c r="I25" s="24"/>
      <c r="J25" s="24"/>
      <c r="K25" s="24"/>
      <c r="L25" s="24"/>
      <c r="M25" s="24"/>
      <c r="N25" s="24"/>
    </row>
    <row r="26" spans="2:14" x14ac:dyDescent="0.2">
      <c r="B26" s="24"/>
      <c r="C26" s="24"/>
      <c r="D26" s="24"/>
      <c r="E26" s="24"/>
      <c r="F26" s="24"/>
      <c r="G26" s="24"/>
      <c r="I26" s="24"/>
      <c r="J26" s="24"/>
      <c r="K26" s="24"/>
      <c r="L26" s="24"/>
      <c r="M26" s="24"/>
      <c r="N26" s="24"/>
    </row>
    <row r="27" spans="2:14" x14ac:dyDescent="0.2">
      <c r="B27" s="24"/>
      <c r="C27" s="24"/>
      <c r="D27" s="24"/>
      <c r="E27" s="24"/>
      <c r="F27" s="24"/>
      <c r="G27" s="24"/>
      <c r="I27" s="24"/>
      <c r="J27" s="24"/>
      <c r="K27" s="24"/>
      <c r="L27" s="24"/>
      <c r="M27" s="24"/>
      <c r="N27" s="2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misc!$A$2:$A$8</xm:f>
          </x14:formula1>
          <xm:sqref>C3</xm:sqref>
        </x14:dataValidation>
        <x14:dataValidation type="list" allowBlank="1" showInputMessage="1" showErrorMessage="1">
          <x14:formula1>
            <xm:f>misc!$C$2:$C$6</xm:f>
          </x14:formula1>
          <xm:sqref>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1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3.5" style="6" customWidth="1"/>
    <col min="10" max="10" width="19.6640625" style="6" customWidth="1"/>
    <col min="11" max="11" width="10" style="6" customWidth="1"/>
    <col min="12" max="13" width="8.83203125" style="6" customWidth="1"/>
    <col min="14" max="14" width="3.1640625" style="6" customWidth="1"/>
    <col min="15" max="15" width="27.5" style="6" customWidth="1"/>
    <col min="16" max="16" width="14.6640625" style="6" customWidth="1"/>
    <col min="17" max="16384" width="10.83203125" style="6"/>
  </cols>
  <sheetData>
    <row r="1" spans="1:17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J1" s="45" t="s">
        <v>410</v>
      </c>
      <c r="K1" s="45" t="s">
        <v>0</v>
      </c>
      <c r="L1" s="46" t="s">
        <v>389</v>
      </c>
      <c r="M1" s="22" t="s">
        <v>381</v>
      </c>
    </row>
    <row r="2" spans="1:17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J2" s="47" t="s">
        <v>64</v>
      </c>
      <c r="K2" s="48" t="str">
        <f t="shared" ref="K2:K11" si="0">INDEX(MARKETING_PERF,MATCH(J2,UNIQUE_KEYPHRASES,0),2)</f>
        <v>Designer</v>
      </c>
      <c r="L2" s="49">
        <f t="shared" ref="L2:L11" si="1">INDEX(MARKETING_PERF,MATCH(J2,UNIQUE_KEYPHRASES,0),7)</f>
        <v>250</v>
      </c>
      <c r="M2" s="50">
        <f t="shared" ref="M2:M11" si="2">INDEX(MARKETING_PERF,MATCH(J2,UNIQUE_KEYPHRASES,0),8)</f>
        <v>13.11</v>
      </c>
      <c r="O2" s="30" t="s">
        <v>411</v>
      </c>
      <c r="P2" s="43">
        <f>INDEX(E2:H2,2)</f>
        <v>70</v>
      </c>
      <c r="Q2" s="55"/>
    </row>
    <row r="3" spans="1:17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J3" s="47" t="s">
        <v>60</v>
      </c>
      <c r="K3" s="48" t="str">
        <f t="shared" si="0"/>
        <v>None</v>
      </c>
      <c r="L3" s="49">
        <f t="shared" si="1"/>
        <v>260</v>
      </c>
      <c r="M3" s="50">
        <f t="shared" si="2"/>
        <v>22.6</v>
      </c>
      <c r="O3" s="30" t="s">
        <v>412</v>
      </c>
      <c r="P3" s="44">
        <f>INDEX(H2:H5,3)</f>
        <v>212.98</v>
      </c>
      <c r="Q3" s="55"/>
    </row>
    <row r="4" spans="1:17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J4" s="47" t="s">
        <v>11</v>
      </c>
      <c r="K4" s="48" t="str">
        <f t="shared" si="0"/>
        <v>Discount</v>
      </c>
      <c r="L4" s="49">
        <f t="shared" si="1"/>
        <v>966</v>
      </c>
      <c r="M4" s="50">
        <f t="shared" si="2"/>
        <v>465.24</v>
      </c>
      <c r="O4" s="1" t="s">
        <v>413</v>
      </c>
      <c r="P4" s="43" t="str">
        <f>INDEX(A2:H5,2,3)</f>
        <v>General</v>
      </c>
      <c r="Q4" s="55"/>
    </row>
    <row r="5" spans="1:17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J5" s="47" t="s">
        <v>15</v>
      </c>
      <c r="K5" s="48" t="str">
        <f t="shared" si="0"/>
        <v>None</v>
      </c>
      <c r="L5" s="49">
        <f t="shared" si="1"/>
        <v>720</v>
      </c>
      <c r="M5" s="50">
        <f t="shared" si="2"/>
        <v>11.92</v>
      </c>
      <c r="O5" s="1" t="s">
        <v>414</v>
      </c>
      <c r="P5" s="43" t="e">
        <f>INDEX(MARKETING_PERF,4)</f>
        <v>#REF!</v>
      </c>
      <c r="Q5" s="55"/>
    </row>
    <row r="6" spans="1:17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J6" s="47" t="s">
        <v>20</v>
      </c>
      <c r="K6" s="48" t="str">
        <f t="shared" si="0"/>
        <v>Discount</v>
      </c>
      <c r="L6" s="49">
        <f t="shared" si="1"/>
        <v>632</v>
      </c>
      <c r="M6" s="50">
        <f t="shared" si="2"/>
        <v>159.16</v>
      </c>
      <c r="O6" s="1" t="s">
        <v>415</v>
      </c>
      <c r="P6" s="43">
        <f>INDEX(MARKETING_PERF,4,5)</f>
        <v>410</v>
      </c>
      <c r="Q6" s="55"/>
    </row>
    <row r="7" spans="1:17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J7" s="47" t="s">
        <v>84</v>
      </c>
      <c r="K7" s="48" t="str">
        <f t="shared" si="0"/>
        <v>None</v>
      </c>
      <c r="L7" s="49">
        <f t="shared" si="1"/>
        <v>160.6</v>
      </c>
      <c r="M7" s="50">
        <f t="shared" si="2"/>
        <v>111.2</v>
      </c>
      <c r="O7" s="1" t="s">
        <v>416</v>
      </c>
      <c r="P7" s="43" t="str">
        <f>INDEX(MARKETING_HEADERS,2)</f>
        <v>Campaign</v>
      </c>
      <c r="Q7" s="55"/>
    </row>
    <row r="8" spans="1:17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J8" s="47" t="s">
        <v>33</v>
      </c>
      <c r="K8" s="48" t="str">
        <f t="shared" si="0"/>
        <v>Designer</v>
      </c>
      <c r="L8" s="49">
        <f t="shared" si="1"/>
        <v>413</v>
      </c>
      <c r="M8" s="50">
        <f t="shared" si="2"/>
        <v>67</v>
      </c>
    </row>
    <row r="9" spans="1:17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J9" s="47" t="s">
        <v>63</v>
      </c>
      <c r="K9" s="48" t="str">
        <f t="shared" si="0"/>
        <v>Designer</v>
      </c>
      <c r="L9" s="49">
        <f t="shared" si="1"/>
        <v>258</v>
      </c>
      <c r="M9" s="50">
        <f t="shared" si="2"/>
        <v>135.78</v>
      </c>
      <c r="O9" s="1" t="s">
        <v>417</v>
      </c>
      <c r="P9" s="43">
        <f>MATCH("cheap designer clothes",A2:A9,0)</f>
        <v>4</v>
      </c>
      <c r="Q9" s="55"/>
    </row>
    <row r="10" spans="1:17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J10" s="47" t="s">
        <v>333</v>
      </c>
      <c r="K10" s="48" t="str">
        <f t="shared" si="0"/>
        <v>None</v>
      </c>
      <c r="L10" s="49">
        <f t="shared" si="1"/>
        <v>0</v>
      </c>
      <c r="M10" s="50">
        <f t="shared" si="2"/>
        <v>5.0199999999999996</v>
      </c>
      <c r="O10" s="1" t="s">
        <v>418</v>
      </c>
      <c r="P10" s="43">
        <f>MATCH("Signups",MARKETING_HEADERS,0)</f>
        <v>5</v>
      </c>
      <c r="Q10" s="55"/>
    </row>
    <row r="11" spans="1:17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J11" s="47" t="s">
        <v>28</v>
      </c>
      <c r="K11" s="48" t="str">
        <f t="shared" si="0"/>
        <v>None</v>
      </c>
      <c r="L11" s="49">
        <f t="shared" si="1"/>
        <v>467.83</v>
      </c>
      <c r="M11" s="50">
        <f t="shared" si="2"/>
        <v>295.19</v>
      </c>
    </row>
    <row r="12" spans="1:17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O12" s="1" t="s">
        <v>420</v>
      </c>
      <c r="P12" s="51" t="s">
        <v>17</v>
      </c>
    </row>
    <row r="13" spans="1:17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O13" s="1" t="s">
        <v>419</v>
      </c>
      <c r="P13" s="51" t="s">
        <v>389</v>
      </c>
    </row>
    <row r="14" spans="1:17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</row>
    <row r="15" spans="1:17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O15" s="1" t="s">
        <v>422</v>
      </c>
      <c r="P15" s="52">
        <f>VLOOKUP(P12,MARKETING_PERF,7,0)</f>
        <v>709.9</v>
      </c>
      <c r="Q15" s="55"/>
    </row>
    <row r="16" spans="1:17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O16" s="1" t="s">
        <v>421</v>
      </c>
      <c r="P16" s="53">
        <f>INDEX(MARKETING_PERF,MATCH(P12,UNIQUE_KEYPHRASES,0),MATCH(P13,MARKETING_HEADERS,0))</f>
        <v>709.9</v>
      </c>
      <c r="Q16" s="55"/>
    </row>
    <row r="17" spans="1:8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</row>
    <row r="18" spans="1:8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</row>
    <row r="19" spans="1:8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</row>
    <row r="20" spans="1:8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</row>
    <row r="21" spans="1:8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</row>
    <row r="22" spans="1:8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</row>
    <row r="23" spans="1:8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</row>
    <row r="24" spans="1:8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</row>
    <row r="25" spans="1:8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</row>
    <row r="26" spans="1:8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</row>
    <row r="27" spans="1:8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</row>
    <row r="28" spans="1:8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</row>
    <row r="29" spans="1:8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</row>
    <row r="30" spans="1:8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</row>
    <row r="31" spans="1:8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</row>
    <row r="32" spans="1:8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</row>
    <row r="33" spans="1:8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</row>
    <row r="34" spans="1:8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</row>
    <row r="35" spans="1:8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</row>
    <row r="36" spans="1:8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</row>
    <row r="37" spans="1:8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</row>
    <row r="38" spans="1:8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</row>
    <row r="39" spans="1:8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</row>
    <row r="40" spans="1:8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</row>
    <row r="41" spans="1:8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</row>
    <row r="42" spans="1:8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</row>
    <row r="43" spans="1:8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</row>
    <row r="44" spans="1:8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</row>
    <row r="45" spans="1:8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</row>
    <row r="46" spans="1:8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</row>
    <row r="47" spans="1:8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</row>
    <row r="48" spans="1:8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</row>
    <row r="49" spans="1:8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</row>
    <row r="50" spans="1:8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</row>
    <row r="51" spans="1:8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</row>
    <row r="52" spans="1:8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</row>
    <row r="53" spans="1:8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</row>
    <row r="54" spans="1:8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</row>
    <row r="55" spans="1:8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</row>
    <row r="56" spans="1:8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</row>
    <row r="57" spans="1:8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</row>
    <row r="58" spans="1:8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</row>
    <row r="59" spans="1:8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</row>
    <row r="60" spans="1:8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</row>
    <row r="61" spans="1:8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</row>
    <row r="62" spans="1:8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</row>
    <row r="63" spans="1:8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</row>
    <row r="64" spans="1:8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</row>
    <row r="65" spans="1:8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</row>
    <row r="66" spans="1:8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</row>
    <row r="67" spans="1:8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</row>
    <row r="68" spans="1:8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</row>
    <row r="69" spans="1:8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</row>
    <row r="70" spans="1:8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</row>
    <row r="71" spans="1:8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</row>
    <row r="72" spans="1:8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</row>
    <row r="73" spans="1:8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</row>
    <row r="74" spans="1:8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</row>
    <row r="75" spans="1:8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</row>
    <row r="76" spans="1:8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</row>
    <row r="77" spans="1:8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</row>
    <row r="78" spans="1:8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</row>
    <row r="79" spans="1:8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</row>
    <row r="80" spans="1:8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</row>
    <row r="81" spans="1:8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</row>
    <row r="82" spans="1:8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</row>
    <row r="83" spans="1:8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</row>
    <row r="84" spans="1:8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</row>
    <row r="85" spans="1:8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</row>
    <row r="86" spans="1:8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</row>
    <row r="87" spans="1:8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</row>
    <row r="88" spans="1:8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</row>
    <row r="89" spans="1:8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</row>
    <row r="90" spans="1:8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</row>
    <row r="91" spans="1:8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</row>
    <row r="92" spans="1:8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</row>
    <row r="93" spans="1:8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</row>
    <row r="94" spans="1:8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</row>
    <row r="95" spans="1:8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</row>
    <row r="96" spans="1:8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</row>
    <row r="97" spans="1:8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</row>
    <row r="98" spans="1:8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</row>
    <row r="99" spans="1:8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</row>
    <row r="100" spans="1:8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</row>
    <row r="101" spans="1:8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</row>
    <row r="102" spans="1:8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</row>
    <row r="103" spans="1:8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</row>
    <row r="104" spans="1:8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</row>
    <row r="105" spans="1:8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</row>
    <row r="106" spans="1:8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</row>
    <row r="107" spans="1:8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</row>
    <row r="108" spans="1:8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</row>
    <row r="109" spans="1:8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</row>
    <row r="110" spans="1:8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</row>
    <row r="111" spans="1:8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</row>
    <row r="112" spans="1:8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</row>
    <row r="113" spans="1:8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</row>
    <row r="114" spans="1:8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</row>
    <row r="115" spans="1:8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</row>
    <row r="116" spans="1:8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</row>
    <row r="117" spans="1:8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</row>
    <row r="118" spans="1:8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</row>
    <row r="119" spans="1:8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</row>
    <row r="120" spans="1:8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</row>
    <row r="121" spans="1:8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</row>
    <row r="122" spans="1:8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</row>
    <row r="123" spans="1:8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</row>
    <row r="124" spans="1:8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</row>
    <row r="125" spans="1:8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</row>
    <row r="126" spans="1:8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</row>
    <row r="127" spans="1:8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</row>
    <row r="128" spans="1:8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</row>
    <row r="129" spans="1:8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</row>
    <row r="130" spans="1:8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</row>
    <row r="131" spans="1:8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</row>
    <row r="132" spans="1:8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</row>
    <row r="133" spans="1:8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</row>
    <row r="134" spans="1:8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</row>
    <row r="135" spans="1:8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</row>
    <row r="136" spans="1:8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</row>
    <row r="137" spans="1:8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</row>
    <row r="138" spans="1:8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</row>
    <row r="139" spans="1:8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</row>
    <row r="140" spans="1:8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</row>
    <row r="141" spans="1:8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</row>
    <row r="142" spans="1:8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</row>
    <row r="143" spans="1:8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</row>
    <row r="144" spans="1:8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</row>
    <row r="145" spans="1:8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</row>
    <row r="146" spans="1:8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</row>
    <row r="147" spans="1:8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</row>
    <row r="148" spans="1:8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</row>
    <row r="149" spans="1:8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</row>
    <row r="150" spans="1:8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</row>
    <row r="151" spans="1:8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</row>
    <row r="152" spans="1:8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</row>
    <row r="153" spans="1:8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</row>
    <row r="154" spans="1:8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</row>
    <row r="155" spans="1:8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</row>
    <row r="156" spans="1:8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</row>
    <row r="157" spans="1:8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</row>
    <row r="158" spans="1:8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</row>
    <row r="159" spans="1:8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</row>
    <row r="160" spans="1:8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</row>
    <row r="161" spans="1:8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</row>
    <row r="162" spans="1:8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</row>
    <row r="163" spans="1:8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</row>
    <row r="164" spans="1:8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</row>
    <row r="165" spans="1:8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</row>
    <row r="166" spans="1:8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</row>
    <row r="167" spans="1:8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</row>
    <row r="168" spans="1:8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</row>
    <row r="169" spans="1:8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</row>
    <row r="170" spans="1:8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</row>
    <row r="171" spans="1:8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</row>
    <row r="172" spans="1:8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</row>
    <row r="173" spans="1:8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</row>
    <row r="174" spans="1:8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</row>
    <row r="175" spans="1:8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</row>
    <row r="176" spans="1:8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</row>
    <row r="177" spans="1:8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</row>
    <row r="178" spans="1:8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</row>
    <row r="179" spans="1:8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</row>
    <row r="180" spans="1:8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</row>
    <row r="181" spans="1:8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</row>
    <row r="182" spans="1:8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</row>
    <row r="183" spans="1:8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</row>
    <row r="184" spans="1:8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</row>
    <row r="185" spans="1:8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</row>
    <row r="186" spans="1:8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</row>
    <row r="187" spans="1:8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</row>
    <row r="188" spans="1:8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</row>
    <row r="189" spans="1:8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</row>
    <row r="190" spans="1:8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</row>
    <row r="191" spans="1:8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</row>
    <row r="192" spans="1:8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</row>
    <row r="193" spans="1:8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</row>
    <row r="194" spans="1:8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</row>
    <row r="195" spans="1:8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</row>
    <row r="196" spans="1:8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</row>
    <row r="197" spans="1:8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</row>
    <row r="198" spans="1:8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</row>
    <row r="199" spans="1:8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</row>
    <row r="200" spans="1:8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</row>
    <row r="201" spans="1:8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</row>
    <row r="202" spans="1:8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</row>
    <row r="203" spans="1:8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</row>
    <row r="204" spans="1:8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</row>
    <row r="205" spans="1:8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</row>
    <row r="206" spans="1:8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</row>
    <row r="207" spans="1:8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</row>
    <row r="208" spans="1:8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</row>
    <row r="209" spans="1:8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</row>
    <row r="210" spans="1:8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</row>
    <row r="211" spans="1:8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</row>
    <row r="212" spans="1:8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</row>
    <row r="213" spans="1:8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</row>
    <row r="214" spans="1:8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</row>
    <row r="215" spans="1:8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</row>
    <row r="216" spans="1:8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</row>
    <row r="217" spans="1:8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</row>
    <row r="218" spans="1:8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</row>
    <row r="219" spans="1:8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</row>
    <row r="220" spans="1:8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</row>
    <row r="221" spans="1:8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</row>
    <row r="222" spans="1:8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</row>
    <row r="223" spans="1:8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</row>
    <row r="224" spans="1:8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</row>
    <row r="225" spans="1:8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</row>
    <row r="226" spans="1:8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</row>
    <row r="227" spans="1:8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</row>
    <row r="228" spans="1:8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</row>
    <row r="229" spans="1:8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</row>
    <row r="230" spans="1:8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</row>
    <row r="231" spans="1:8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</row>
    <row r="232" spans="1:8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</row>
    <row r="233" spans="1:8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</row>
    <row r="234" spans="1:8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</row>
    <row r="235" spans="1:8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</row>
    <row r="236" spans="1:8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</row>
    <row r="237" spans="1:8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</row>
    <row r="238" spans="1:8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</row>
    <row r="239" spans="1:8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</row>
    <row r="240" spans="1:8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</row>
    <row r="241" spans="1:8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</row>
    <row r="242" spans="1:8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</row>
    <row r="243" spans="1:8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</row>
    <row r="244" spans="1:8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</row>
    <row r="245" spans="1:8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</row>
    <row r="246" spans="1:8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</row>
    <row r="247" spans="1:8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</row>
    <row r="248" spans="1:8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</row>
    <row r="249" spans="1:8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</row>
    <row r="250" spans="1:8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</row>
    <row r="251" spans="1:8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</row>
    <row r="252" spans="1:8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</row>
    <row r="253" spans="1:8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</row>
    <row r="254" spans="1:8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</row>
    <row r="255" spans="1:8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</row>
    <row r="256" spans="1:8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</row>
    <row r="257" spans="1:8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</row>
    <row r="258" spans="1:8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</row>
    <row r="259" spans="1:8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</row>
    <row r="260" spans="1:8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</row>
    <row r="261" spans="1:8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</row>
    <row r="262" spans="1:8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</row>
    <row r="263" spans="1:8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</row>
    <row r="264" spans="1:8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</row>
    <row r="265" spans="1:8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</row>
    <row r="266" spans="1:8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</row>
    <row r="267" spans="1:8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</row>
    <row r="268" spans="1:8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</row>
    <row r="269" spans="1:8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</row>
    <row r="270" spans="1:8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</row>
    <row r="271" spans="1:8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</row>
    <row r="272" spans="1:8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</row>
    <row r="273" spans="1:8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</row>
    <row r="274" spans="1:8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</row>
    <row r="275" spans="1:8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</row>
    <row r="276" spans="1:8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</row>
    <row r="277" spans="1:8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</row>
    <row r="278" spans="1:8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</row>
    <row r="279" spans="1:8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</row>
    <row r="280" spans="1:8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</row>
    <row r="281" spans="1:8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</row>
    <row r="282" spans="1:8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</row>
    <row r="283" spans="1:8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</row>
    <row r="284" spans="1:8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</row>
    <row r="285" spans="1:8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</row>
    <row r="286" spans="1:8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</row>
    <row r="287" spans="1:8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</row>
    <row r="288" spans="1:8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</row>
    <row r="289" spans="1:8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</row>
    <row r="290" spans="1:8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</row>
    <row r="291" spans="1:8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</row>
    <row r="292" spans="1:8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</row>
    <row r="293" spans="1:8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</row>
    <row r="294" spans="1:8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</row>
    <row r="295" spans="1:8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</row>
    <row r="296" spans="1:8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</row>
    <row r="297" spans="1:8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</row>
    <row r="298" spans="1:8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</row>
    <row r="299" spans="1:8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</row>
    <row r="300" spans="1:8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</row>
    <row r="301" spans="1:8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</row>
    <row r="302" spans="1:8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</row>
    <row r="303" spans="1:8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</row>
    <row r="304" spans="1:8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</row>
    <row r="305" spans="1:8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</row>
    <row r="306" spans="1:8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</row>
    <row r="307" spans="1:8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</row>
    <row r="308" spans="1:8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</row>
    <row r="309" spans="1:8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</row>
    <row r="310" spans="1:8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</row>
    <row r="311" spans="1:8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</row>
    <row r="312" spans="1:8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</row>
    <row r="313" spans="1:8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</row>
    <row r="314" spans="1:8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</row>
    <row r="315" spans="1:8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</row>
    <row r="316" spans="1:8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</row>
    <row r="317" spans="1:8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</row>
    <row r="318" spans="1:8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</row>
    <row r="319" spans="1:8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</row>
    <row r="320" spans="1:8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</row>
    <row r="321" spans="1:8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</row>
    <row r="322" spans="1:8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</row>
    <row r="323" spans="1:8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</row>
    <row r="324" spans="1:8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</row>
    <row r="325" spans="1:8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</row>
    <row r="326" spans="1:8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</row>
    <row r="327" spans="1:8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</row>
    <row r="328" spans="1:8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</row>
    <row r="329" spans="1:8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</row>
    <row r="330" spans="1:8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</row>
    <row r="331" spans="1:8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</row>
    <row r="332" spans="1:8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</row>
    <row r="333" spans="1:8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</row>
    <row r="334" spans="1:8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</row>
    <row r="335" spans="1:8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</row>
    <row r="336" spans="1:8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</row>
    <row r="337" spans="1:8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</row>
    <row r="338" spans="1:8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</row>
    <row r="339" spans="1:8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</row>
    <row r="340" spans="1:8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</row>
    <row r="341" spans="1:8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</row>
    <row r="342" spans="1:8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</row>
    <row r="343" spans="1:8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</row>
    <row r="344" spans="1:8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</row>
    <row r="345" spans="1:8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</row>
    <row r="346" spans="1:8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</row>
    <row r="347" spans="1:8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</row>
    <row r="348" spans="1:8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</row>
    <row r="349" spans="1:8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</row>
    <row r="350" spans="1:8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</row>
    <row r="351" spans="1:8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</row>
    <row r="352" spans="1:8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</row>
    <row r="353" spans="1:8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</row>
    <row r="354" spans="1:8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</row>
    <row r="355" spans="1:8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</row>
    <row r="356" spans="1:8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</row>
    <row r="357" spans="1:8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</row>
    <row r="358" spans="1:8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</row>
    <row r="359" spans="1:8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</row>
    <row r="360" spans="1:8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</row>
    <row r="361" spans="1:8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</row>
    <row r="362" spans="1:8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</row>
    <row r="363" spans="1:8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</row>
    <row r="364" spans="1:8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</row>
    <row r="365" spans="1:8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</row>
    <row r="366" spans="1:8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</row>
    <row r="367" spans="1:8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</row>
    <row r="368" spans="1:8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</row>
    <row r="369" spans="1:8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</row>
    <row r="370" spans="1:8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</row>
    <row r="371" spans="1:8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</row>
    <row r="372" spans="1:8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</row>
    <row r="373" spans="1:8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</row>
    <row r="374" spans="1:8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</row>
    <row r="375" spans="1:8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</row>
    <row r="376" spans="1:8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</row>
    <row r="377" spans="1:8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</row>
    <row r="378" spans="1:8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</row>
    <row r="379" spans="1:8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</row>
    <row r="380" spans="1:8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</row>
    <row r="381" spans="1:8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</row>
  </sheetData>
  <sortState ref="A2:I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30" zoomScaleNormal="130" workbookViewId="0">
      <selection activeCell="J14" sqref="J14"/>
    </sheetView>
  </sheetViews>
  <sheetFormatPr baseColWidth="10" defaultRowHeight="16" x14ac:dyDescent="0.2"/>
  <cols>
    <col min="1" max="1" width="4.5" style="11" customWidth="1"/>
    <col min="2" max="2" width="10.83203125" style="11"/>
    <col min="3" max="10" width="8.83203125" style="11" customWidth="1"/>
    <col min="11" max="12" width="10.83203125" style="11"/>
    <col min="13" max="13" width="9.6640625" style="11" customWidth="1"/>
    <col min="14" max="14" width="10.83203125" style="11"/>
    <col min="15" max="15" width="24.1640625" style="11" customWidth="1"/>
    <col min="16" max="16384" width="10.83203125" style="11"/>
  </cols>
  <sheetData>
    <row r="1" spans="1:15" x14ac:dyDescent="0.2">
      <c r="C1" s="16" t="s">
        <v>402</v>
      </c>
    </row>
    <row r="2" spans="1:15" x14ac:dyDescent="0.2">
      <c r="C2" s="11" t="s">
        <v>382</v>
      </c>
    </row>
    <row r="3" spans="1:15" x14ac:dyDescent="0.2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" customHeight="1" x14ac:dyDescent="0.2">
      <c r="A4" s="54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2">
      <c r="A5" s="54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7" customHeight="1" x14ac:dyDescent="0.2">
      <c r="A6" s="54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2">
      <c r="A7" s="54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" customHeight="1" x14ac:dyDescent="0.2">
      <c r="A8" s="54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2">
      <c r="A9" s="54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2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1"/>
  <sheetViews>
    <sheetView zoomScale="130" zoomScaleNormal="130" workbookViewId="0">
      <selection activeCell="D3" sqref="D3"/>
    </sheetView>
  </sheetViews>
  <sheetFormatPr baseColWidth="10" defaultRowHeight="16" x14ac:dyDescent="0.2"/>
  <cols>
    <col min="1" max="1" width="15.5" style="40" customWidth="1"/>
    <col min="2" max="2" width="4.1640625" style="40" customWidth="1"/>
    <col min="3" max="3" width="16.5" style="40" customWidth="1"/>
    <col min="4" max="16384" width="10.83203125" style="40"/>
  </cols>
  <sheetData>
    <row r="1" spans="1:3" x14ac:dyDescent="0.2">
      <c r="A1" s="41" t="s">
        <v>409</v>
      </c>
      <c r="C1" s="41" t="s">
        <v>408</v>
      </c>
    </row>
    <row r="2" spans="1:3" x14ac:dyDescent="0.2">
      <c r="A2" s="3" t="s">
        <v>341</v>
      </c>
      <c r="C2" s="42" t="s">
        <v>237</v>
      </c>
    </row>
    <row r="3" spans="1:3" x14ac:dyDescent="0.2">
      <c r="A3" s="3" t="s">
        <v>384</v>
      </c>
      <c r="C3" s="42" t="s">
        <v>385</v>
      </c>
    </row>
    <row r="4" spans="1:3" x14ac:dyDescent="0.2">
      <c r="A4" s="3" t="s">
        <v>383</v>
      </c>
      <c r="C4" s="42" t="s">
        <v>22</v>
      </c>
    </row>
    <row r="5" spans="1:3" x14ac:dyDescent="0.2">
      <c r="A5" s="3" t="s">
        <v>387</v>
      </c>
      <c r="C5" s="42" t="s">
        <v>388</v>
      </c>
    </row>
    <row r="6" spans="1:3" x14ac:dyDescent="0.2">
      <c r="A6" s="3" t="s">
        <v>340</v>
      </c>
      <c r="C6" s="42" t="s">
        <v>386</v>
      </c>
    </row>
    <row r="7" spans="1:3" x14ac:dyDescent="0.2">
      <c r="A7" s="3" t="s">
        <v>313</v>
      </c>
      <c r="C7" s="42"/>
    </row>
    <row r="8" spans="1:3" x14ac:dyDescent="0.2">
      <c r="A8" s="3" t="s">
        <v>364</v>
      </c>
      <c r="C8"/>
    </row>
    <row r="9" spans="1:3" x14ac:dyDescent="0.2">
      <c r="C9"/>
    </row>
    <row r="10" spans="1:3" x14ac:dyDescent="0.2">
      <c r="A10"/>
      <c r="C10"/>
    </row>
    <row r="11" spans="1:3" x14ac:dyDescent="0.2">
      <c r="A11"/>
      <c r="C11"/>
    </row>
    <row r="12" spans="1:3" x14ac:dyDescent="0.2">
      <c r="A12"/>
      <c r="C12"/>
    </row>
    <row r="13" spans="1:3" x14ac:dyDescent="0.2">
      <c r="A13"/>
      <c r="C13"/>
    </row>
    <row r="14" spans="1:3" x14ac:dyDescent="0.2">
      <c r="A14"/>
      <c r="C14"/>
    </row>
    <row r="15" spans="1:3" x14ac:dyDescent="0.2">
      <c r="A15"/>
      <c r="C15"/>
    </row>
    <row r="16" spans="1:3" x14ac:dyDescent="0.2">
      <c r="A16"/>
      <c r="C16"/>
    </row>
    <row r="17" spans="1:3" x14ac:dyDescent="0.2">
      <c r="A17"/>
      <c r="C17"/>
    </row>
    <row r="18" spans="1:3" x14ac:dyDescent="0.2">
      <c r="A18"/>
      <c r="C18"/>
    </row>
    <row r="19" spans="1:3" x14ac:dyDescent="0.2">
      <c r="A19"/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  <c r="C24"/>
    </row>
    <row r="25" spans="1:3" x14ac:dyDescent="0.2">
      <c r="A25"/>
      <c r="C25"/>
    </row>
    <row r="26" spans="1:3" x14ac:dyDescent="0.2">
      <c r="A26"/>
      <c r="C26"/>
    </row>
    <row r="27" spans="1:3" x14ac:dyDescent="0.2">
      <c r="A27"/>
      <c r="C27"/>
    </row>
    <row r="28" spans="1:3" x14ac:dyDescent="0.2">
      <c r="A28"/>
      <c r="C28"/>
    </row>
    <row r="29" spans="1:3" x14ac:dyDescent="0.2">
      <c r="A29"/>
      <c r="C29"/>
    </row>
    <row r="30" spans="1:3" x14ac:dyDescent="0.2">
      <c r="A30"/>
      <c r="C30"/>
    </row>
    <row r="31" spans="1:3" x14ac:dyDescent="0.2">
      <c r="A31"/>
      <c r="C31"/>
    </row>
    <row r="32" spans="1:3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  <c r="C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/>
      <c r="C55"/>
    </row>
    <row r="56" spans="1:3" x14ac:dyDescent="0.2">
      <c r="A56"/>
      <c r="C56"/>
    </row>
    <row r="57" spans="1:3" x14ac:dyDescent="0.2">
      <c r="A57"/>
      <c r="C57"/>
    </row>
    <row r="58" spans="1:3" x14ac:dyDescent="0.2">
      <c r="A58"/>
      <c r="C58"/>
    </row>
    <row r="59" spans="1:3" x14ac:dyDescent="0.2">
      <c r="A59"/>
      <c r="C59"/>
    </row>
    <row r="60" spans="1:3" x14ac:dyDescent="0.2">
      <c r="A60"/>
      <c r="C60"/>
    </row>
    <row r="61" spans="1:3" x14ac:dyDescent="0.2">
      <c r="A61"/>
      <c r="C61"/>
    </row>
    <row r="62" spans="1:3" x14ac:dyDescent="0.2">
      <c r="A62"/>
      <c r="C62"/>
    </row>
    <row r="63" spans="1:3" x14ac:dyDescent="0.2">
      <c r="A63"/>
      <c r="C63"/>
    </row>
    <row r="64" spans="1:3" x14ac:dyDescent="0.2">
      <c r="A64"/>
      <c r="C64"/>
    </row>
    <row r="65" spans="1:3" x14ac:dyDescent="0.2">
      <c r="A65"/>
      <c r="C65"/>
    </row>
    <row r="66" spans="1:3" x14ac:dyDescent="0.2">
      <c r="A66"/>
      <c r="C66"/>
    </row>
    <row r="67" spans="1:3" x14ac:dyDescent="0.2">
      <c r="A67"/>
      <c r="C67"/>
    </row>
    <row r="68" spans="1:3" x14ac:dyDescent="0.2">
      <c r="A68"/>
      <c r="C68"/>
    </row>
    <row r="69" spans="1:3" x14ac:dyDescent="0.2">
      <c r="A69"/>
      <c r="C69"/>
    </row>
    <row r="70" spans="1:3" x14ac:dyDescent="0.2">
      <c r="A70"/>
      <c r="C70"/>
    </row>
    <row r="71" spans="1:3" x14ac:dyDescent="0.2">
      <c r="A71"/>
      <c r="C71"/>
    </row>
    <row r="72" spans="1:3" x14ac:dyDescent="0.2">
      <c r="A72"/>
      <c r="C72"/>
    </row>
    <row r="73" spans="1:3" x14ac:dyDescent="0.2">
      <c r="A73"/>
      <c r="C73"/>
    </row>
    <row r="74" spans="1:3" x14ac:dyDescent="0.2">
      <c r="A74"/>
      <c r="C74"/>
    </row>
    <row r="75" spans="1:3" x14ac:dyDescent="0.2">
      <c r="A75"/>
      <c r="C75"/>
    </row>
    <row r="76" spans="1:3" x14ac:dyDescent="0.2">
      <c r="A76"/>
      <c r="C76"/>
    </row>
    <row r="77" spans="1:3" x14ac:dyDescent="0.2">
      <c r="A77"/>
      <c r="C77"/>
    </row>
    <row r="78" spans="1:3" x14ac:dyDescent="0.2">
      <c r="A78"/>
      <c r="C78"/>
    </row>
    <row r="79" spans="1:3" x14ac:dyDescent="0.2">
      <c r="A79"/>
      <c r="C79"/>
    </row>
    <row r="80" spans="1:3" x14ac:dyDescent="0.2">
      <c r="A80"/>
      <c r="C80"/>
    </row>
    <row r="81" spans="1:3" x14ac:dyDescent="0.2">
      <c r="A81"/>
      <c r="C81"/>
    </row>
    <row r="82" spans="1:3" x14ac:dyDescent="0.2">
      <c r="A82"/>
      <c r="C82"/>
    </row>
    <row r="83" spans="1:3" x14ac:dyDescent="0.2">
      <c r="A83"/>
      <c r="C83"/>
    </row>
    <row r="84" spans="1:3" x14ac:dyDescent="0.2">
      <c r="A84"/>
      <c r="C84"/>
    </row>
    <row r="85" spans="1:3" x14ac:dyDescent="0.2">
      <c r="A85"/>
      <c r="C85"/>
    </row>
    <row r="86" spans="1:3" x14ac:dyDescent="0.2">
      <c r="A86"/>
      <c r="C86"/>
    </row>
    <row r="87" spans="1:3" x14ac:dyDescent="0.2">
      <c r="A87"/>
      <c r="C87"/>
    </row>
    <row r="88" spans="1:3" x14ac:dyDescent="0.2">
      <c r="A88"/>
      <c r="C88"/>
    </row>
    <row r="89" spans="1:3" x14ac:dyDescent="0.2">
      <c r="A89"/>
      <c r="C89"/>
    </row>
    <row r="90" spans="1:3" x14ac:dyDescent="0.2">
      <c r="A90"/>
      <c r="C90"/>
    </row>
    <row r="91" spans="1:3" x14ac:dyDescent="0.2">
      <c r="A91"/>
      <c r="C91"/>
    </row>
    <row r="92" spans="1:3" x14ac:dyDescent="0.2">
      <c r="A92"/>
      <c r="C92"/>
    </row>
    <row r="93" spans="1:3" x14ac:dyDescent="0.2">
      <c r="A93"/>
      <c r="C93"/>
    </row>
    <row r="94" spans="1:3" x14ac:dyDescent="0.2">
      <c r="A94"/>
      <c r="C94"/>
    </row>
    <row r="95" spans="1:3" x14ac:dyDescent="0.2">
      <c r="A95"/>
      <c r="C95"/>
    </row>
    <row r="96" spans="1:3" x14ac:dyDescent="0.2">
      <c r="A96"/>
      <c r="C96"/>
    </row>
    <row r="97" spans="1:3" x14ac:dyDescent="0.2">
      <c r="A97"/>
      <c r="C97"/>
    </row>
    <row r="98" spans="1:3" x14ac:dyDescent="0.2">
      <c r="A98"/>
      <c r="C98"/>
    </row>
    <row r="99" spans="1:3" x14ac:dyDescent="0.2">
      <c r="A99"/>
      <c r="C99"/>
    </row>
    <row r="100" spans="1:3" x14ac:dyDescent="0.2">
      <c r="A100"/>
      <c r="C100"/>
    </row>
    <row r="101" spans="1:3" x14ac:dyDescent="0.2">
      <c r="A101"/>
      <c r="C101"/>
    </row>
    <row r="102" spans="1:3" x14ac:dyDescent="0.2">
      <c r="A102"/>
      <c r="C102"/>
    </row>
    <row r="103" spans="1:3" x14ac:dyDescent="0.2">
      <c r="A103"/>
      <c r="C103"/>
    </row>
    <row r="104" spans="1:3" x14ac:dyDescent="0.2">
      <c r="A104"/>
      <c r="C104"/>
    </row>
    <row r="105" spans="1:3" x14ac:dyDescent="0.2">
      <c r="A105"/>
      <c r="C105"/>
    </row>
    <row r="106" spans="1:3" x14ac:dyDescent="0.2">
      <c r="A106"/>
      <c r="C106"/>
    </row>
    <row r="107" spans="1:3" x14ac:dyDescent="0.2">
      <c r="A107"/>
      <c r="C107"/>
    </row>
    <row r="108" spans="1:3" x14ac:dyDescent="0.2">
      <c r="A108"/>
      <c r="C108"/>
    </row>
    <row r="109" spans="1:3" x14ac:dyDescent="0.2">
      <c r="A109"/>
      <c r="C109"/>
    </row>
    <row r="110" spans="1:3" x14ac:dyDescent="0.2">
      <c r="A110"/>
      <c r="C110"/>
    </row>
    <row r="111" spans="1:3" x14ac:dyDescent="0.2">
      <c r="A111"/>
      <c r="C111"/>
    </row>
    <row r="112" spans="1:3" x14ac:dyDescent="0.2">
      <c r="A112"/>
      <c r="C112"/>
    </row>
    <row r="113" spans="1:3" x14ac:dyDescent="0.2">
      <c r="A113"/>
      <c r="C113"/>
    </row>
    <row r="114" spans="1:3" x14ac:dyDescent="0.2">
      <c r="A114"/>
      <c r="C114"/>
    </row>
    <row r="115" spans="1:3" x14ac:dyDescent="0.2">
      <c r="A115"/>
      <c r="C115"/>
    </row>
    <row r="116" spans="1:3" x14ac:dyDescent="0.2">
      <c r="A116"/>
      <c r="C116"/>
    </row>
    <row r="117" spans="1:3" x14ac:dyDescent="0.2">
      <c r="A117"/>
      <c r="C117"/>
    </row>
    <row r="118" spans="1:3" x14ac:dyDescent="0.2">
      <c r="A118"/>
      <c r="C118"/>
    </row>
    <row r="119" spans="1:3" x14ac:dyDescent="0.2">
      <c r="A119"/>
      <c r="C119"/>
    </row>
    <row r="120" spans="1:3" x14ac:dyDescent="0.2">
      <c r="A120"/>
      <c r="C120"/>
    </row>
    <row r="121" spans="1:3" x14ac:dyDescent="0.2">
      <c r="A121"/>
      <c r="C121"/>
    </row>
    <row r="122" spans="1:3" x14ac:dyDescent="0.2">
      <c r="A122"/>
      <c r="C122"/>
    </row>
    <row r="123" spans="1:3" x14ac:dyDescent="0.2">
      <c r="A123"/>
      <c r="C123"/>
    </row>
    <row r="124" spans="1:3" x14ac:dyDescent="0.2">
      <c r="A124"/>
      <c r="C124"/>
    </row>
    <row r="125" spans="1:3" x14ac:dyDescent="0.2">
      <c r="A125"/>
      <c r="C125"/>
    </row>
    <row r="126" spans="1:3" x14ac:dyDescent="0.2">
      <c r="A126"/>
      <c r="C126"/>
    </row>
    <row r="127" spans="1:3" x14ac:dyDescent="0.2">
      <c r="A127"/>
      <c r="C127"/>
    </row>
    <row r="128" spans="1:3" x14ac:dyDescent="0.2">
      <c r="A128"/>
      <c r="C128"/>
    </row>
    <row r="129" spans="1:3" x14ac:dyDescent="0.2">
      <c r="A129"/>
      <c r="C129"/>
    </row>
    <row r="130" spans="1:3" x14ac:dyDescent="0.2">
      <c r="A130"/>
      <c r="C130"/>
    </row>
    <row r="131" spans="1:3" x14ac:dyDescent="0.2">
      <c r="A131"/>
      <c r="C131"/>
    </row>
    <row r="132" spans="1:3" x14ac:dyDescent="0.2">
      <c r="A132"/>
      <c r="C132"/>
    </row>
    <row r="133" spans="1:3" x14ac:dyDescent="0.2">
      <c r="A133"/>
      <c r="C133"/>
    </row>
    <row r="134" spans="1:3" x14ac:dyDescent="0.2">
      <c r="A134"/>
      <c r="C134"/>
    </row>
    <row r="135" spans="1:3" x14ac:dyDescent="0.2">
      <c r="A135"/>
      <c r="C135"/>
    </row>
    <row r="136" spans="1:3" x14ac:dyDescent="0.2">
      <c r="A136"/>
      <c r="C136"/>
    </row>
    <row r="137" spans="1:3" x14ac:dyDescent="0.2">
      <c r="A137"/>
      <c r="C137"/>
    </row>
    <row r="138" spans="1:3" x14ac:dyDescent="0.2">
      <c r="A138"/>
      <c r="C138"/>
    </row>
    <row r="139" spans="1:3" x14ac:dyDescent="0.2">
      <c r="A139"/>
      <c r="C139"/>
    </row>
    <row r="140" spans="1:3" x14ac:dyDescent="0.2">
      <c r="A140"/>
      <c r="C140"/>
    </row>
    <row r="141" spans="1:3" x14ac:dyDescent="0.2">
      <c r="A141"/>
      <c r="C141"/>
    </row>
    <row r="142" spans="1:3" x14ac:dyDescent="0.2">
      <c r="A142"/>
      <c r="C142"/>
    </row>
    <row r="143" spans="1:3" x14ac:dyDescent="0.2">
      <c r="A143"/>
      <c r="C143"/>
    </row>
    <row r="144" spans="1:3" x14ac:dyDescent="0.2">
      <c r="A144"/>
      <c r="C144"/>
    </row>
    <row r="145" spans="1:3" x14ac:dyDescent="0.2">
      <c r="A145"/>
      <c r="C145"/>
    </row>
    <row r="146" spans="1:3" x14ac:dyDescent="0.2">
      <c r="A146"/>
      <c r="C146"/>
    </row>
    <row r="147" spans="1:3" x14ac:dyDescent="0.2">
      <c r="A147"/>
      <c r="C147"/>
    </row>
    <row r="148" spans="1:3" x14ac:dyDescent="0.2">
      <c r="A148"/>
      <c r="C148"/>
    </row>
    <row r="149" spans="1:3" x14ac:dyDescent="0.2">
      <c r="A149"/>
      <c r="C149"/>
    </row>
    <row r="150" spans="1:3" x14ac:dyDescent="0.2">
      <c r="A150"/>
      <c r="C150"/>
    </row>
    <row r="151" spans="1:3" x14ac:dyDescent="0.2">
      <c r="A151"/>
      <c r="C151"/>
    </row>
    <row r="152" spans="1:3" x14ac:dyDescent="0.2">
      <c r="A152"/>
      <c r="C152"/>
    </row>
    <row r="153" spans="1:3" x14ac:dyDescent="0.2">
      <c r="A153"/>
      <c r="C153"/>
    </row>
    <row r="154" spans="1:3" x14ac:dyDescent="0.2">
      <c r="A154"/>
      <c r="C154"/>
    </row>
    <row r="155" spans="1:3" x14ac:dyDescent="0.2">
      <c r="A155"/>
      <c r="C155"/>
    </row>
    <row r="156" spans="1:3" x14ac:dyDescent="0.2">
      <c r="A156"/>
      <c r="C156"/>
    </row>
    <row r="157" spans="1:3" x14ac:dyDescent="0.2">
      <c r="A157"/>
      <c r="C157"/>
    </row>
    <row r="158" spans="1:3" x14ac:dyDescent="0.2">
      <c r="A158"/>
      <c r="C158"/>
    </row>
    <row r="159" spans="1:3" x14ac:dyDescent="0.2">
      <c r="A159"/>
      <c r="C159"/>
    </row>
    <row r="160" spans="1:3" x14ac:dyDescent="0.2">
      <c r="A160"/>
      <c r="C160"/>
    </row>
    <row r="161" spans="1:3" x14ac:dyDescent="0.2">
      <c r="A161"/>
      <c r="C161"/>
    </row>
    <row r="162" spans="1:3" x14ac:dyDescent="0.2">
      <c r="A162"/>
      <c r="C162"/>
    </row>
    <row r="163" spans="1:3" x14ac:dyDescent="0.2">
      <c r="A163"/>
      <c r="C163"/>
    </row>
    <row r="164" spans="1:3" x14ac:dyDescent="0.2">
      <c r="A164"/>
      <c r="C164"/>
    </row>
    <row r="165" spans="1:3" x14ac:dyDescent="0.2">
      <c r="A165"/>
      <c r="C165"/>
    </row>
    <row r="166" spans="1:3" x14ac:dyDescent="0.2">
      <c r="A166"/>
      <c r="C166"/>
    </row>
    <row r="167" spans="1:3" x14ac:dyDescent="0.2">
      <c r="A167"/>
      <c r="C167"/>
    </row>
    <row r="168" spans="1:3" x14ac:dyDescent="0.2">
      <c r="A168"/>
      <c r="C168"/>
    </row>
    <row r="169" spans="1:3" x14ac:dyDescent="0.2">
      <c r="A169"/>
      <c r="C169"/>
    </row>
    <row r="170" spans="1:3" x14ac:dyDescent="0.2">
      <c r="A170"/>
      <c r="C170"/>
    </row>
    <row r="171" spans="1:3" x14ac:dyDescent="0.2">
      <c r="A171"/>
      <c r="C171"/>
    </row>
    <row r="172" spans="1:3" x14ac:dyDescent="0.2">
      <c r="A172"/>
      <c r="C172"/>
    </row>
    <row r="173" spans="1:3" x14ac:dyDescent="0.2">
      <c r="A173"/>
      <c r="C173"/>
    </row>
    <row r="174" spans="1:3" x14ac:dyDescent="0.2">
      <c r="A174"/>
      <c r="C174"/>
    </row>
    <row r="175" spans="1:3" x14ac:dyDescent="0.2">
      <c r="A175"/>
      <c r="C175"/>
    </row>
    <row r="176" spans="1:3" x14ac:dyDescent="0.2">
      <c r="A176"/>
      <c r="C176"/>
    </row>
    <row r="177" spans="1:3" x14ac:dyDescent="0.2">
      <c r="A177"/>
      <c r="C177"/>
    </row>
    <row r="178" spans="1:3" x14ac:dyDescent="0.2">
      <c r="A178"/>
      <c r="C178"/>
    </row>
    <row r="179" spans="1:3" x14ac:dyDescent="0.2">
      <c r="A179"/>
      <c r="C179"/>
    </row>
    <row r="180" spans="1:3" x14ac:dyDescent="0.2">
      <c r="A180"/>
      <c r="C180"/>
    </row>
    <row r="181" spans="1:3" x14ac:dyDescent="0.2">
      <c r="A181"/>
      <c r="C181"/>
    </row>
    <row r="182" spans="1:3" x14ac:dyDescent="0.2">
      <c r="A182"/>
      <c r="C182"/>
    </row>
    <row r="183" spans="1:3" x14ac:dyDescent="0.2">
      <c r="A183"/>
      <c r="C183"/>
    </row>
    <row r="184" spans="1:3" x14ac:dyDescent="0.2">
      <c r="A184"/>
      <c r="C184"/>
    </row>
    <row r="185" spans="1:3" x14ac:dyDescent="0.2">
      <c r="A185"/>
      <c r="C185"/>
    </row>
    <row r="186" spans="1:3" x14ac:dyDescent="0.2">
      <c r="A186"/>
      <c r="C186"/>
    </row>
    <row r="187" spans="1:3" x14ac:dyDescent="0.2">
      <c r="A187"/>
      <c r="C187"/>
    </row>
    <row r="188" spans="1:3" x14ac:dyDescent="0.2">
      <c r="A188"/>
      <c r="C188"/>
    </row>
    <row r="189" spans="1:3" x14ac:dyDescent="0.2">
      <c r="A189"/>
      <c r="C189"/>
    </row>
    <row r="190" spans="1:3" x14ac:dyDescent="0.2">
      <c r="A190"/>
      <c r="C190"/>
    </row>
    <row r="191" spans="1:3" x14ac:dyDescent="0.2">
      <c r="A191"/>
      <c r="C191"/>
    </row>
    <row r="192" spans="1:3" x14ac:dyDescent="0.2">
      <c r="A192"/>
      <c r="C192"/>
    </row>
    <row r="193" spans="1:3" x14ac:dyDescent="0.2">
      <c r="A193"/>
      <c r="C193"/>
    </row>
    <row r="194" spans="1:3" x14ac:dyDescent="0.2">
      <c r="A194"/>
      <c r="C194"/>
    </row>
    <row r="195" spans="1:3" x14ac:dyDescent="0.2">
      <c r="A195"/>
      <c r="C195"/>
    </row>
    <row r="196" spans="1:3" x14ac:dyDescent="0.2">
      <c r="A196"/>
      <c r="C196"/>
    </row>
    <row r="197" spans="1:3" x14ac:dyDescent="0.2">
      <c r="A197"/>
      <c r="C197"/>
    </row>
    <row r="198" spans="1:3" x14ac:dyDescent="0.2">
      <c r="A198"/>
      <c r="C198"/>
    </row>
    <row r="199" spans="1:3" x14ac:dyDescent="0.2">
      <c r="A199"/>
      <c r="C199"/>
    </row>
    <row r="200" spans="1:3" x14ac:dyDescent="0.2">
      <c r="A200"/>
      <c r="C200"/>
    </row>
    <row r="201" spans="1:3" x14ac:dyDescent="0.2">
      <c r="A201"/>
      <c r="C201"/>
    </row>
    <row r="202" spans="1:3" x14ac:dyDescent="0.2">
      <c r="A202"/>
      <c r="C202"/>
    </row>
    <row r="203" spans="1:3" x14ac:dyDescent="0.2">
      <c r="A203"/>
      <c r="C203"/>
    </row>
    <row r="204" spans="1:3" x14ac:dyDescent="0.2">
      <c r="A204"/>
      <c r="C204"/>
    </row>
    <row r="205" spans="1:3" x14ac:dyDescent="0.2">
      <c r="A205"/>
      <c r="C205"/>
    </row>
    <row r="206" spans="1:3" x14ac:dyDescent="0.2">
      <c r="A206"/>
      <c r="C206"/>
    </row>
    <row r="207" spans="1:3" x14ac:dyDescent="0.2">
      <c r="A207"/>
      <c r="C207"/>
    </row>
    <row r="208" spans="1:3" x14ac:dyDescent="0.2">
      <c r="A208"/>
      <c r="C208"/>
    </row>
    <row r="209" spans="1:3" x14ac:dyDescent="0.2">
      <c r="A209"/>
      <c r="C209"/>
    </row>
    <row r="210" spans="1:3" x14ac:dyDescent="0.2">
      <c r="A210"/>
      <c r="C210"/>
    </row>
    <row r="211" spans="1:3" x14ac:dyDescent="0.2">
      <c r="A211"/>
      <c r="C211"/>
    </row>
    <row r="212" spans="1:3" x14ac:dyDescent="0.2">
      <c r="A212"/>
      <c r="C212"/>
    </row>
    <row r="213" spans="1:3" x14ac:dyDescent="0.2">
      <c r="A213"/>
      <c r="C213"/>
    </row>
    <row r="214" spans="1:3" x14ac:dyDescent="0.2">
      <c r="A214"/>
      <c r="C214"/>
    </row>
    <row r="215" spans="1:3" x14ac:dyDescent="0.2">
      <c r="A215"/>
      <c r="C215"/>
    </row>
    <row r="216" spans="1:3" x14ac:dyDescent="0.2">
      <c r="A216"/>
      <c r="C216"/>
    </row>
    <row r="217" spans="1:3" x14ac:dyDescent="0.2">
      <c r="A217"/>
      <c r="C217"/>
    </row>
    <row r="218" spans="1:3" x14ac:dyDescent="0.2">
      <c r="A218"/>
      <c r="C218"/>
    </row>
    <row r="219" spans="1:3" x14ac:dyDescent="0.2">
      <c r="A219"/>
      <c r="C219"/>
    </row>
    <row r="220" spans="1:3" x14ac:dyDescent="0.2">
      <c r="A220"/>
      <c r="C220"/>
    </row>
    <row r="221" spans="1:3" x14ac:dyDescent="0.2">
      <c r="A221"/>
      <c r="C221"/>
    </row>
    <row r="222" spans="1:3" x14ac:dyDescent="0.2">
      <c r="A222"/>
      <c r="C222"/>
    </row>
    <row r="223" spans="1:3" x14ac:dyDescent="0.2">
      <c r="A223"/>
      <c r="C223"/>
    </row>
    <row r="224" spans="1:3" x14ac:dyDescent="0.2">
      <c r="A224"/>
      <c r="C224"/>
    </row>
    <row r="225" spans="1:3" x14ac:dyDescent="0.2">
      <c r="A225"/>
      <c r="C225"/>
    </row>
    <row r="226" spans="1:3" x14ac:dyDescent="0.2">
      <c r="A226"/>
      <c r="C226"/>
    </row>
    <row r="227" spans="1:3" x14ac:dyDescent="0.2">
      <c r="A227"/>
      <c r="C227"/>
    </row>
    <row r="228" spans="1:3" x14ac:dyDescent="0.2">
      <c r="A228"/>
      <c r="C228"/>
    </row>
    <row r="229" spans="1:3" x14ac:dyDescent="0.2">
      <c r="A229"/>
      <c r="C229"/>
    </row>
    <row r="230" spans="1:3" x14ac:dyDescent="0.2">
      <c r="A230"/>
      <c r="C230"/>
    </row>
    <row r="231" spans="1:3" x14ac:dyDescent="0.2">
      <c r="A231"/>
      <c r="C231"/>
    </row>
    <row r="232" spans="1:3" x14ac:dyDescent="0.2">
      <c r="A232"/>
      <c r="C232"/>
    </row>
    <row r="233" spans="1:3" x14ac:dyDescent="0.2">
      <c r="A233"/>
      <c r="C233"/>
    </row>
    <row r="234" spans="1:3" x14ac:dyDescent="0.2">
      <c r="A234"/>
      <c r="C234"/>
    </row>
    <row r="235" spans="1:3" x14ac:dyDescent="0.2">
      <c r="A235"/>
      <c r="C235"/>
    </row>
    <row r="236" spans="1:3" x14ac:dyDescent="0.2">
      <c r="A236"/>
      <c r="C236"/>
    </row>
    <row r="237" spans="1:3" x14ac:dyDescent="0.2">
      <c r="A237"/>
      <c r="C237"/>
    </row>
    <row r="238" spans="1:3" x14ac:dyDescent="0.2">
      <c r="A238"/>
      <c r="C238"/>
    </row>
    <row r="239" spans="1:3" x14ac:dyDescent="0.2">
      <c r="A239"/>
      <c r="C239"/>
    </row>
    <row r="240" spans="1:3" x14ac:dyDescent="0.2">
      <c r="A240"/>
      <c r="C240"/>
    </row>
    <row r="241" spans="1:3" x14ac:dyDescent="0.2">
      <c r="A241"/>
      <c r="C241"/>
    </row>
    <row r="242" spans="1:3" x14ac:dyDescent="0.2">
      <c r="A242"/>
      <c r="C242"/>
    </row>
    <row r="243" spans="1:3" x14ac:dyDescent="0.2">
      <c r="A243"/>
      <c r="C243"/>
    </row>
    <row r="244" spans="1:3" x14ac:dyDescent="0.2">
      <c r="A244"/>
      <c r="C244"/>
    </row>
    <row r="245" spans="1:3" x14ac:dyDescent="0.2">
      <c r="A245"/>
      <c r="C245"/>
    </row>
    <row r="246" spans="1:3" x14ac:dyDescent="0.2">
      <c r="A246"/>
      <c r="C246"/>
    </row>
    <row r="247" spans="1:3" x14ac:dyDescent="0.2">
      <c r="A247"/>
      <c r="C247"/>
    </row>
    <row r="248" spans="1:3" x14ac:dyDescent="0.2">
      <c r="A248"/>
      <c r="C248"/>
    </row>
    <row r="249" spans="1:3" x14ac:dyDescent="0.2">
      <c r="A249"/>
      <c r="C249"/>
    </row>
    <row r="250" spans="1:3" x14ac:dyDescent="0.2">
      <c r="A250"/>
      <c r="C250"/>
    </row>
    <row r="251" spans="1:3" x14ac:dyDescent="0.2">
      <c r="A251"/>
      <c r="C251"/>
    </row>
    <row r="252" spans="1:3" x14ac:dyDescent="0.2">
      <c r="A252"/>
      <c r="C252"/>
    </row>
    <row r="253" spans="1:3" x14ac:dyDescent="0.2">
      <c r="A253"/>
      <c r="C253"/>
    </row>
    <row r="254" spans="1:3" x14ac:dyDescent="0.2">
      <c r="A254"/>
      <c r="C254"/>
    </row>
    <row r="255" spans="1:3" x14ac:dyDescent="0.2">
      <c r="A255"/>
      <c r="C255"/>
    </row>
    <row r="256" spans="1:3" x14ac:dyDescent="0.2">
      <c r="A256"/>
      <c r="C256"/>
    </row>
    <row r="257" spans="1:3" x14ac:dyDescent="0.2">
      <c r="A257"/>
      <c r="C257"/>
    </row>
    <row r="258" spans="1:3" x14ac:dyDescent="0.2">
      <c r="A258"/>
      <c r="C258"/>
    </row>
    <row r="259" spans="1:3" x14ac:dyDescent="0.2">
      <c r="A259"/>
      <c r="C259"/>
    </row>
    <row r="260" spans="1:3" x14ac:dyDescent="0.2">
      <c r="A260"/>
      <c r="C260"/>
    </row>
    <row r="261" spans="1:3" x14ac:dyDescent="0.2">
      <c r="A261"/>
      <c r="C261"/>
    </row>
    <row r="262" spans="1:3" x14ac:dyDescent="0.2">
      <c r="A262"/>
      <c r="C262"/>
    </row>
    <row r="263" spans="1:3" x14ac:dyDescent="0.2">
      <c r="A263"/>
      <c r="C263"/>
    </row>
    <row r="264" spans="1:3" x14ac:dyDescent="0.2">
      <c r="A264"/>
      <c r="C264"/>
    </row>
    <row r="265" spans="1:3" x14ac:dyDescent="0.2">
      <c r="A265"/>
      <c r="C265"/>
    </row>
    <row r="266" spans="1:3" x14ac:dyDescent="0.2">
      <c r="A266"/>
      <c r="C266"/>
    </row>
    <row r="267" spans="1:3" x14ac:dyDescent="0.2">
      <c r="A267"/>
      <c r="C267"/>
    </row>
    <row r="268" spans="1:3" x14ac:dyDescent="0.2">
      <c r="A268"/>
      <c r="C268"/>
    </row>
    <row r="269" spans="1:3" x14ac:dyDescent="0.2">
      <c r="A269"/>
      <c r="C269"/>
    </row>
    <row r="270" spans="1:3" x14ac:dyDescent="0.2">
      <c r="A270"/>
      <c r="C270"/>
    </row>
    <row r="271" spans="1:3" x14ac:dyDescent="0.2">
      <c r="A271"/>
      <c r="C271"/>
    </row>
    <row r="272" spans="1:3" x14ac:dyDescent="0.2">
      <c r="A272"/>
      <c r="C272"/>
    </row>
    <row r="273" spans="1:3" x14ac:dyDescent="0.2">
      <c r="A273"/>
      <c r="C273"/>
    </row>
    <row r="274" spans="1:3" x14ac:dyDescent="0.2">
      <c r="A274"/>
      <c r="C274"/>
    </row>
    <row r="275" spans="1:3" x14ac:dyDescent="0.2">
      <c r="A275"/>
      <c r="C275"/>
    </row>
    <row r="276" spans="1:3" x14ac:dyDescent="0.2">
      <c r="A276"/>
      <c r="C276"/>
    </row>
    <row r="277" spans="1:3" x14ac:dyDescent="0.2">
      <c r="A277"/>
      <c r="C277"/>
    </row>
    <row r="278" spans="1:3" x14ac:dyDescent="0.2">
      <c r="A278"/>
      <c r="C278"/>
    </row>
    <row r="279" spans="1:3" x14ac:dyDescent="0.2">
      <c r="A279"/>
      <c r="C279"/>
    </row>
    <row r="280" spans="1:3" x14ac:dyDescent="0.2">
      <c r="A280"/>
      <c r="C280"/>
    </row>
    <row r="281" spans="1:3" x14ac:dyDescent="0.2">
      <c r="A281"/>
      <c r="C281"/>
    </row>
    <row r="282" spans="1:3" x14ac:dyDescent="0.2">
      <c r="A282"/>
      <c r="C282"/>
    </row>
    <row r="283" spans="1:3" x14ac:dyDescent="0.2">
      <c r="A283"/>
      <c r="C283"/>
    </row>
    <row r="284" spans="1:3" x14ac:dyDescent="0.2">
      <c r="A284"/>
      <c r="C284"/>
    </row>
    <row r="285" spans="1:3" x14ac:dyDescent="0.2">
      <c r="A285"/>
      <c r="C285"/>
    </row>
    <row r="286" spans="1:3" x14ac:dyDescent="0.2">
      <c r="A286"/>
      <c r="C286"/>
    </row>
    <row r="287" spans="1:3" x14ac:dyDescent="0.2">
      <c r="A287"/>
      <c r="C287"/>
    </row>
    <row r="288" spans="1:3" x14ac:dyDescent="0.2">
      <c r="A288"/>
      <c r="C288"/>
    </row>
    <row r="289" spans="1:3" x14ac:dyDescent="0.2">
      <c r="A289"/>
      <c r="C289"/>
    </row>
    <row r="290" spans="1:3" x14ac:dyDescent="0.2">
      <c r="A290"/>
      <c r="C290"/>
    </row>
    <row r="291" spans="1:3" x14ac:dyDescent="0.2">
      <c r="A291"/>
      <c r="C291"/>
    </row>
    <row r="292" spans="1:3" x14ac:dyDescent="0.2">
      <c r="A292"/>
      <c r="C292"/>
    </row>
    <row r="293" spans="1:3" x14ac:dyDescent="0.2">
      <c r="A293"/>
      <c r="C293"/>
    </row>
    <row r="294" spans="1:3" x14ac:dyDescent="0.2">
      <c r="A294"/>
      <c r="C294"/>
    </row>
    <row r="295" spans="1:3" x14ac:dyDescent="0.2">
      <c r="A295"/>
      <c r="C295"/>
    </row>
    <row r="296" spans="1:3" x14ac:dyDescent="0.2">
      <c r="A296"/>
      <c r="C296"/>
    </row>
    <row r="297" spans="1:3" x14ac:dyDescent="0.2">
      <c r="A297"/>
      <c r="C297"/>
    </row>
    <row r="298" spans="1:3" x14ac:dyDescent="0.2">
      <c r="A298"/>
      <c r="C298"/>
    </row>
    <row r="299" spans="1:3" x14ac:dyDescent="0.2">
      <c r="A299"/>
      <c r="C299"/>
    </row>
    <row r="300" spans="1:3" x14ac:dyDescent="0.2">
      <c r="A300"/>
      <c r="C300"/>
    </row>
    <row r="301" spans="1:3" x14ac:dyDescent="0.2">
      <c r="A301"/>
      <c r="C301"/>
    </row>
    <row r="302" spans="1:3" x14ac:dyDescent="0.2">
      <c r="A302"/>
      <c r="C302"/>
    </row>
    <row r="303" spans="1:3" x14ac:dyDescent="0.2">
      <c r="A303"/>
      <c r="C303"/>
    </row>
    <row r="304" spans="1:3" x14ac:dyDescent="0.2">
      <c r="A304"/>
      <c r="C304"/>
    </row>
    <row r="305" spans="1:3" x14ac:dyDescent="0.2">
      <c r="A305"/>
      <c r="C305"/>
    </row>
    <row r="306" spans="1:3" x14ac:dyDescent="0.2">
      <c r="A306"/>
      <c r="C306"/>
    </row>
    <row r="307" spans="1:3" x14ac:dyDescent="0.2">
      <c r="A307"/>
      <c r="C307"/>
    </row>
    <row r="308" spans="1:3" x14ac:dyDescent="0.2">
      <c r="A308"/>
      <c r="C308"/>
    </row>
    <row r="309" spans="1:3" x14ac:dyDescent="0.2">
      <c r="A309"/>
      <c r="C309"/>
    </row>
    <row r="310" spans="1:3" x14ac:dyDescent="0.2">
      <c r="A310"/>
      <c r="C310"/>
    </row>
    <row r="311" spans="1:3" x14ac:dyDescent="0.2">
      <c r="A311"/>
      <c r="C311"/>
    </row>
    <row r="312" spans="1:3" x14ac:dyDescent="0.2">
      <c r="A312"/>
      <c r="C312"/>
    </row>
    <row r="313" spans="1:3" x14ac:dyDescent="0.2">
      <c r="A313"/>
      <c r="C313"/>
    </row>
    <row r="314" spans="1:3" x14ac:dyDescent="0.2">
      <c r="A314"/>
      <c r="C314"/>
    </row>
    <row r="315" spans="1:3" x14ac:dyDescent="0.2">
      <c r="A315"/>
      <c r="C315"/>
    </row>
    <row r="316" spans="1:3" x14ac:dyDescent="0.2">
      <c r="A316"/>
      <c r="C316"/>
    </row>
    <row r="317" spans="1:3" x14ac:dyDescent="0.2">
      <c r="A317"/>
      <c r="C317"/>
    </row>
    <row r="318" spans="1:3" x14ac:dyDescent="0.2">
      <c r="A318"/>
      <c r="C318"/>
    </row>
    <row r="319" spans="1:3" x14ac:dyDescent="0.2">
      <c r="A319"/>
      <c r="C319"/>
    </row>
    <row r="320" spans="1:3" x14ac:dyDescent="0.2">
      <c r="A320"/>
      <c r="C320"/>
    </row>
    <row r="321" spans="1:3" x14ac:dyDescent="0.2">
      <c r="A321"/>
      <c r="C321"/>
    </row>
    <row r="322" spans="1:3" x14ac:dyDescent="0.2">
      <c r="A322"/>
      <c r="C322"/>
    </row>
    <row r="323" spans="1:3" x14ac:dyDescent="0.2">
      <c r="A323"/>
      <c r="C323"/>
    </row>
    <row r="324" spans="1:3" x14ac:dyDescent="0.2">
      <c r="A324"/>
      <c r="C324"/>
    </row>
    <row r="325" spans="1:3" x14ac:dyDescent="0.2">
      <c r="A325"/>
      <c r="C325"/>
    </row>
    <row r="326" spans="1:3" x14ac:dyDescent="0.2">
      <c r="A326"/>
      <c r="C326"/>
    </row>
    <row r="327" spans="1:3" x14ac:dyDescent="0.2">
      <c r="A327"/>
      <c r="C327"/>
    </row>
    <row r="328" spans="1:3" x14ac:dyDescent="0.2">
      <c r="A328"/>
      <c r="C328"/>
    </row>
    <row r="329" spans="1:3" x14ac:dyDescent="0.2">
      <c r="A329"/>
      <c r="C329"/>
    </row>
    <row r="330" spans="1:3" x14ac:dyDescent="0.2">
      <c r="A330"/>
      <c r="C330"/>
    </row>
    <row r="331" spans="1:3" x14ac:dyDescent="0.2">
      <c r="A331"/>
      <c r="C331"/>
    </row>
    <row r="332" spans="1:3" x14ac:dyDescent="0.2">
      <c r="A332"/>
      <c r="C332"/>
    </row>
    <row r="333" spans="1:3" x14ac:dyDescent="0.2">
      <c r="A333"/>
      <c r="C333"/>
    </row>
    <row r="334" spans="1:3" x14ac:dyDescent="0.2">
      <c r="A334"/>
      <c r="C334"/>
    </row>
    <row r="335" spans="1:3" x14ac:dyDescent="0.2">
      <c r="A335"/>
      <c r="C335"/>
    </row>
    <row r="336" spans="1:3" x14ac:dyDescent="0.2">
      <c r="A336"/>
      <c r="C336"/>
    </row>
    <row r="337" spans="1:3" x14ac:dyDescent="0.2">
      <c r="A337"/>
      <c r="C337"/>
    </row>
    <row r="338" spans="1:3" x14ac:dyDescent="0.2">
      <c r="A338"/>
      <c r="C338"/>
    </row>
    <row r="339" spans="1:3" x14ac:dyDescent="0.2">
      <c r="A339"/>
      <c r="C339"/>
    </row>
    <row r="340" spans="1:3" x14ac:dyDescent="0.2">
      <c r="A340"/>
      <c r="C340"/>
    </row>
    <row r="341" spans="1:3" x14ac:dyDescent="0.2">
      <c r="A341"/>
      <c r="C341"/>
    </row>
    <row r="342" spans="1:3" x14ac:dyDescent="0.2">
      <c r="A342"/>
      <c r="C342"/>
    </row>
    <row r="343" spans="1:3" x14ac:dyDescent="0.2">
      <c r="A343"/>
      <c r="C343"/>
    </row>
    <row r="344" spans="1:3" x14ac:dyDescent="0.2">
      <c r="A344"/>
      <c r="C344"/>
    </row>
    <row r="345" spans="1:3" x14ac:dyDescent="0.2">
      <c r="A345"/>
      <c r="C345"/>
    </row>
    <row r="346" spans="1:3" x14ac:dyDescent="0.2">
      <c r="A346"/>
      <c r="C346"/>
    </row>
    <row r="347" spans="1:3" x14ac:dyDescent="0.2">
      <c r="A347"/>
      <c r="C347"/>
    </row>
    <row r="348" spans="1:3" x14ac:dyDescent="0.2">
      <c r="A348"/>
      <c r="C348"/>
    </row>
    <row r="349" spans="1:3" x14ac:dyDescent="0.2">
      <c r="A349"/>
      <c r="C349"/>
    </row>
    <row r="350" spans="1:3" x14ac:dyDescent="0.2">
      <c r="A350"/>
      <c r="C350"/>
    </row>
    <row r="351" spans="1:3" x14ac:dyDescent="0.2">
      <c r="A351"/>
      <c r="C351"/>
    </row>
    <row r="352" spans="1:3" x14ac:dyDescent="0.2">
      <c r="A352"/>
      <c r="C352"/>
    </row>
    <row r="353" spans="1:3" x14ac:dyDescent="0.2">
      <c r="A353"/>
      <c r="C353"/>
    </row>
    <row r="354" spans="1:3" x14ac:dyDescent="0.2">
      <c r="A354"/>
      <c r="C354"/>
    </row>
    <row r="355" spans="1:3" x14ac:dyDescent="0.2">
      <c r="A355"/>
      <c r="C355"/>
    </row>
    <row r="356" spans="1:3" x14ac:dyDescent="0.2">
      <c r="A356"/>
      <c r="C356"/>
    </row>
    <row r="357" spans="1:3" x14ac:dyDescent="0.2">
      <c r="A357"/>
      <c r="C357"/>
    </row>
    <row r="358" spans="1:3" x14ac:dyDescent="0.2">
      <c r="A358"/>
      <c r="C358"/>
    </row>
    <row r="359" spans="1:3" x14ac:dyDescent="0.2">
      <c r="A359"/>
      <c r="C359"/>
    </row>
    <row r="360" spans="1:3" x14ac:dyDescent="0.2">
      <c r="A360"/>
      <c r="C360"/>
    </row>
    <row r="361" spans="1:3" x14ac:dyDescent="0.2">
      <c r="A361"/>
      <c r="C361"/>
    </row>
    <row r="362" spans="1:3" x14ac:dyDescent="0.2">
      <c r="A362"/>
      <c r="C362"/>
    </row>
    <row r="363" spans="1:3" x14ac:dyDescent="0.2">
      <c r="A363"/>
      <c r="C363"/>
    </row>
    <row r="364" spans="1:3" x14ac:dyDescent="0.2">
      <c r="A364"/>
      <c r="C364"/>
    </row>
    <row r="365" spans="1:3" x14ac:dyDescent="0.2">
      <c r="A365"/>
      <c r="C365"/>
    </row>
    <row r="366" spans="1:3" x14ac:dyDescent="0.2">
      <c r="A366"/>
      <c r="C366"/>
    </row>
    <row r="367" spans="1:3" x14ac:dyDescent="0.2">
      <c r="A367"/>
      <c r="C367"/>
    </row>
    <row r="368" spans="1:3" x14ac:dyDescent="0.2">
      <c r="A368"/>
      <c r="C368"/>
    </row>
    <row r="369" spans="1:3" x14ac:dyDescent="0.2">
      <c r="A369"/>
      <c r="C369"/>
    </row>
    <row r="370" spans="1:3" x14ac:dyDescent="0.2">
      <c r="A370"/>
      <c r="C370"/>
    </row>
    <row r="371" spans="1:3" x14ac:dyDescent="0.2">
      <c r="A371"/>
      <c r="C371"/>
    </row>
    <row r="372" spans="1:3" x14ac:dyDescent="0.2">
      <c r="A372"/>
      <c r="C372"/>
    </row>
    <row r="373" spans="1:3" x14ac:dyDescent="0.2">
      <c r="A373"/>
      <c r="C373"/>
    </row>
    <row r="374" spans="1:3" x14ac:dyDescent="0.2">
      <c r="A374"/>
      <c r="C374"/>
    </row>
    <row r="375" spans="1:3" x14ac:dyDescent="0.2">
      <c r="A375"/>
      <c r="C375"/>
    </row>
    <row r="376" spans="1:3" x14ac:dyDescent="0.2">
      <c r="A376"/>
      <c r="C376"/>
    </row>
    <row r="377" spans="1:3" x14ac:dyDescent="0.2">
      <c r="A377"/>
      <c r="C377"/>
    </row>
    <row r="378" spans="1:3" x14ac:dyDescent="0.2">
      <c r="A378"/>
      <c r="C378"/>
    </row>
    <row r="379" spans="1:3" x14ac:dyDescent="0.2">
      <c r="A379"/>
      <c r="C379"/>
    </row>
    <row r="380" spans="1:3" x14ac:dyDescent="0.2">
      <c r="A380"/>
      <c r="C380"/>
    </row>
    <row r="381" spans="1:3" x14ac:dyDescent="0.2">
      <c r="A381"/>
      <c r="C381"/>
    </row>
  </sheetData>
  <sortState ref="C3:C6">
    <sortCondition ref="C3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marketing_perf</vt:lpstr>
      <vt:lpstr>signups</vt:lpstr>
      <vt:lpstr>misc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2017-10-18T10:55:47Z</dcterms:modified>
</cp:coreProperties>
</file>