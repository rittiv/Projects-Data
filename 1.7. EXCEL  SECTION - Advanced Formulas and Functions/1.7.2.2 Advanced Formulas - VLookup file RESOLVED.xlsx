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702"/>
  <workbookPr/>
  <mc:AlternateContent xmlns:mc="http://schemas.openxmlformats.org/markup-compatibility/2006">
    <mc:Choice Requires="x15">
      <x15ac:absPath xmlns:x15ac="http://schemas.microsoft.com/office/spreadsheetml/2010/11/ac" url="/Users/travis/Desktop/dataset-marketing/"/>
    </mc:Choice>
  </mc:AlternateContent>
  <bookViews>
    <workbookView xWindow="360" yWindow="6120" windowWidth="25600" windowHeight="14400"/>
  </bookViews>
  <sheets>
    <sheet name="marketing_perf" sheetId="6" r:id="rId1"/>
  </sheets>
  <definedNames>
    <definedName name="_xlnm._FilterDatabase" localSheetId="0" hidden="1">marketing_perf!#REF!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2" i="6"/>
  <c r="L3" i="6"/>
  <c r="L4" i="6"/>
  <c r="L5" i="6"/>
  <c r="L6" i="6"/>
  <c r="L7" i="6"/>
  <c r="L8" i="6"/>
  <c r="L9" i="6"/>
  <c r="L10" i="6"/>
  <c r="L11" i="6"/>
  <c r="L2" i="6"/>
  <c r="K11" i="6"/>
  <c r="K10" i="6"/>
  <c r="K9" i="6"/>
  <c r="K8" i="6"/>
  <c r="K7" i="6"/>
  <c r="K6" i="6"/>
  <c r="K5" i="6"/>
  <c r="K4" i="6"/>
  <c r="K3" i="6"/>
  <c r="K2" i="6"/>
</calcChain>
</file>

<file path=xl/sharedStrings.xml><?xml version="1.0" encoding="utf-8"?>
<sst xmlns="http://schemas.openxmlformats.org/spreadsheetml/2006/main" count="1162" uniqueCount="401">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</sst>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HK$&quot;* #,##0.00_);_(&quot;HK$&quot;* \(#,##0.00\);_(&quot;HK$&quot;* &quot;-&quot;??_);_(@_)"/>
    <numFmt numFmtId="165" formatCode="_([$$-409]* #,##0_);_([$$-409]* \(#,##0\);_([$$-409]* &quot;-&quot;??_);_(@_)"/>
    <numFmt numFmtId="167" formatCode="[$-409]mmm\-yy;@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4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8">
    <xf numFmtId="0" fontId="0" fillId="0" borderId="0" xfId="0"/>
    <xf numFmtId="0" fontId="19" fillId="33" borderId="0" xfId="0" applyFont="1" applyFill="1"/>
    <xf numFmtId="167" fontId="19" fillId="33" borderId="0" xfId="0" applyNumberFormat="1" applyFont="1" applyFill="1"/>
    <xf numFmtId="0" fontId="20" fillId="0" borderId="0" xfId="0" applyFont="1"/>
    <xf numFmtId="167" fontId="20" fillId="0" borderId="0" xfId="0" applyNumberFormat="1" applyFont="1"/>
    <xf numFmtId="3" fontId="20" fillId="0" borderId="0" xfId="0" applyNumberFormat="1" applyFont="1"/>
    <xf numFmtId="0" fontId="1" fillId="0" borderId="0" xfId="0" applyFont="1"/>
    <xf numFmtId="165" fontId="1" fillId="0" borderId="0" xfId="42" applyNumberFormat="1" applyFont="1"/>
    <xf numFmtId="165" fontId="19" fillId="33" borderId="0" xfId="42" applyNumberFormat="1" applyFont="1" applyFill="1" applyAlignment="1">
      <alignment horizontal="right"/>
    </xf>
    <xf numFmtId="165" fontId="20" fillId="0" borderId="0" xfId="42" applyNumberFormat="1" applyFont="1"/>
    <xf numFmtId="165" fontId="1" fillId="0" borderId="0" xfId="0" applyNumberFormat="1" applyFont="1"/>
    <xf numFmtId="0" fontId="19" fillId="34" borderId="0" xfId="0" applyFont="1" applyFill="1"/>
    <xf numFmtId="0" fontId="19" fillId="34" borderId="0" xfId="0" applyFont="1" applyFill="1" applyAlignment="1">
      <alignment horizontal="right"/>
    </xf>
    <xf numFmtId="0" fontId="21" fillId="0" borderId="0" xfId="0" applyFont="1"/>
    <xf numFmtId="0" fontId="21" fillId="35" borderId="0" xfId="0" applyFont="1" applyFill="1"/>
    <xf numFmtId="165" fontId="21" fillId="35" borderId="0" xfId="0" applyNumberFormat="1" applyFont="1" applyFill="1"/>
    <xf numFmtId="165" fontId="19" fillId="34" borderId="0" xfId="0" applyNumberFormat="1" applyFont="1" applyFill="1" applyAlignment="1">
      <alignment horizontal="right"/>
    </xf>
    <xf numFmtId="165" fontId="21" fillId="36" borderId="0" xfId="0" applyNumberFormat="1" applyFont="1" applyFill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0.83203125" style="6"/>
    <col min="10" max="10" width="18.83203125" style="6" customWidth="1"/>
    <col min="11" max="11" width="10.83203125" style="6" customWidth="1"/>
    <col min="12" max="12" width="11" style="6" customWidth="1"/>
    <col min="13" max="13" width="10.5" style="10" customWidth="1"/>
    <col min="14" max="16384" width="10.83203125" style="6"/>
  </cols>
  <sheetData>
    <row r="1" spans="1:13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11" t="s">
        <v>400</v>
      </c>
      <c r="K1" s="11" t="s">
        <v>0</v>
      </c>
      <c r="L1" s="12" t="s">
        <v>389</v>
      </c>
      <c r="M1" s="16" t="s">
        <v>381</v>
      </c>
    </row>
    <row r="2" spans="1:13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13" t="s">
        <v>64</v>
      </c>
      <c r="K2" s="14" t="str">
        <f>VLOOKUP(J2,$A$2:$H$381,2,FALSE)</f>
        <v>Designer</v>
      </c>
      <c r="L2" s="15">
        <f>VLOOKUP(J2,$A$2:$H$381,7,FALSE)</f>
        <v>250</v>
      </c>
      <c r="M2" s="17">
        <f>VLOOKUP(J2,$A$2:$H$381,8,FALSE)</f>
        <v>13.11</v>
      </c>
    </row>
    <row r="3" spans="1:13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13" t="s">
        <v>60</v>
      </c>
      <c r="K3" s="14" t="str">
        <f t="shared" ref="K3:K11" si="0">VLOOKUP(J3,$A$2:$H$381,2,FALSE)</f>
        <v>None</v>
      </c>
      <c r="L3" s="15">
        <f t="shared" ref="L3:L11" si="1">VLOOKUP(J3,$A$2:$H$381,7,FALSE)</f>
        <v>260</v>
      </c>
      <c r="M3" s="17">
        <f t="shared" ref="M3:M11" si="2">VLOOKUP(J3,$A$2:$H$381,8,FALSE)</f>
        <v>22.6</v>
      </c>
    </row>
    <row r="4" spans="1:13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13" t="s">
        <v>11</v>
      </c>
      <c r="K4" s="14" t="str">
        <f t="shared" si="0"/>
        <v>Discount</v>
      </c>
      <c r="L4" s="15">
        <f t="shared" si="1"/>
        <v>966</v>
      </c>
      <c r="M4" s="17">
        <f t="shared" si="2"/>
        <v>465.24</v>
      </c>
    </row>
    <row r="5" spans="1:13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13" t="s">
        <v>15</v>
      </c>
      <c r="K5" s="14" t="str">
        <f t="shared" si="0"/>
        <v>None</v>
      </c>
      <c r="L5" s="15">
        <f t="shared" si="1"/>
        <v>720</v>
      </c>
      <c r="M5" s="17">
        <f t="shared" si="2"/>
        <v>11.92</v>
      </c>
    </row>
    <row r="6" spans="1:13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13" t="s">
        <v>20</v>
      </c>
      <c r="K6" s="14" t="str">
        <f t="shared" si="0"/>
        <v>Discount</v>
      </c>
      <c r="L6" s="15">
        <f t="shared" si="1"/>
        <v>632</v>
      </c>
      <c r="M6" s="17">
        <f t="shared" si="2"/>
        <v>159.16</v>
      </c>
    </row>
    <row r="7" spans="1:13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13" t="s">
        <v>84</v>
      </c>
      <c r="K7" s="14" t="str">
        <f t="shared" si="0"/>
        <v>None</v>
      </c>
      <c r="L7" s="15">
        <f t="shared" si="1"/>
        <v>160.6</v>
      </c>
      <c r="M7" s="17">
        <f t="shared" si="2"/>
        <v>111.2</v>
      </c>
    </row>
    <row r="8" spans="1:13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13" t="s">
        <v>33</v>
      </c>
      <c r="K8" s="14" t="str">
        <f t="shared" si="0"/>
        <v>Designer</v>
      </c>
      <c r="L8" s="15">
        <f t="shared" si="1"/>
        <v>413</v>
      </c>
      <c r="M8" s="17">
        <f t="shared" si="2"/>
        <v>67</v>
      </c>
    </row>
    <row r="9" spans="1:13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13" t="s">
        <v>63</v>
      </c>
      <c r="K9" s="14" t="str">
        <f t="shared" si="0"/>
        <v>Designer</v>
      </c>
      <c r="L9" s="15">
        <f t="shared" si="1"/>
        <v>258</v>
      </c>
      <c r="M9" s="17">
        <f t="shared" si="2"/>
        <v>135.78</v>
      </c>
    </row>
    <row r="10" spans="1:13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13" t="s">
        <v>333</v>
      </c>
      <c r="K10" s="14" t="str">
        <f t="shared" si="0"/>
        <v>None</v>
      </c>
      <c r="L10" s="15">
        <f t="shared" si="1"/>
        <v>0</v>
      </c>
      <c r="M10" s="17">
        <f t="shared" si="2"/>
        <v>5.0199999999999996</v>
      </c>
    </row>
    <row r="11" spans="1:13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13" t="s">
        <v>28</v>
      </c>
      <c r="K11" s="14" t="str">
        <f t="shared" si="0"/>
        <v>None</v>
      </c>
      <c r="L11" s="15">
        <f t="shared" si="1"/>
        <v>467.83</v>
      </c>
      <c r="M11" s="17">
        <f t="shared" si="2"/>
        <v>295.19</v>
      </c>
    </row>
    <row r="12" spans="1:13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</row>
    <row r="13" spans="1:13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</row>
    <row r="14" spans="1:13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3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</row>
    <row r="16" spans="1:13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</row>
    <row r="17" spans="1:8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ref="A2:H383">
    <sortCondition descending="1" ref="G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marketing_perf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2017-10-15T16:09:27Z</dcterms:modified>
</cp:coreProperties>
</file>