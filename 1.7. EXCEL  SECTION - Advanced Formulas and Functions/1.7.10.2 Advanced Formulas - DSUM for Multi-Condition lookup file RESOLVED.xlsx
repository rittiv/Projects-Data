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908"/>
  <workbookPr/>
  <mc:AlternateContent xmlns:mc="http://schemas.openxmlformats.org/markup-compatibility/2006">
    <mc:Choice Requires="x15">
      <x15ac:absPath xmlns:x15ac="http://schemas.microsoft.com/office/spreadsheetml/2010/11/ac" url="/Users/travis/Dropbox/_Travis/EXCEL/TC Data Handling in Excel/09 Multi-Condition Lookup with DSUM/"/>
    </mc:Choice>
  </mc:AlternateContent>
  <bookViews>
    <workbookView xWindow="4880" yWindow="5800" windowWidth="25600" windowHeight="14400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marketing_perf!$A$1:$L$381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0" i="9" l="1"/>
  <c r="L10" i="9"/>
  <c r="J10" i="9"/>
  <c r="K10" i="9"/>
  <c r="M15" i="9"/>
  <c r="M14" i="9"/>
  <c r="L15" i="9"/>
  <c r="L14" i="9"/>
  <c r="K15" i="9"/>
  <c r="K14" i="9"/>
  <c r="J6" i="9"/>
  <c r="F6" i="9"/>
  <c r="E6" i="9"/>
  <c r="D6" i="9"/>
  <c r="C6" i="9"/>
  <c r="E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<sst xmlns="http://schemas.openxmlformats.org/spreadsheetml/2006/main" count="1221" uniqueCount="420">
  <si>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</si>
  <si>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</si>
  <si>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</si>
  <si>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</si>
  <si>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</si>
  <si>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</si>
  <si>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</si>
  <si>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</si>
  <si>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</si>
  <si>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</si>
  <si>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</si>
  <si>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</si>
  <si>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</si>
  <si>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</si>
  <si>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</si>
  <si>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</si>
  <si>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</si>
  <si>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</si>
  <si>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</si>
  <si>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</si>
  <si>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</si>
  <si>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</si>
  <si>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</si>
  <si>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</si>
  <si>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</si>
  <si>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</si>
  <si>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</si>
  <si>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</si>
  <si>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</si>
  <si>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</si>
  <si>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</si>
  <si>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</si>
  <si>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</si>
  <si>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</si>
  <si>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</si>
  <si>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</si>
  <si>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</si>
  <si>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</si>
  <si>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</si>
  <si>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</si>
  <si>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</si>
  <si>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</si>
  <si>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</si>
  <si>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</si>
  <si>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</si>
  <si>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</si>
  <si>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</si>
  <si>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</si>
  <si>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</si>
  <si>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</si>
  <si>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</si>
  <si>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</si>
  <si>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</si>
  <si>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</si>
  <si>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</si>
  <si>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</si>
  <si>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</si>
  <si>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</si>
  <si>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</si>
  <si>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</si>
  <si>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</si>
  <si>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</si>
  <si>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</si>
  <si>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</si>
  <si>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</si>
  <si>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</si>
  <si>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</si>
  <si>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</si>
  <si>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</si>
  <si>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</si>
  <si>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</si>
  <si>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</si>
  <si>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</si>
  <si>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</si>
  <si>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</si>
  <si>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</si>
  <si>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</si>
  <si>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</si>
  <si>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</si>
  <si>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</si>
  <si>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</si>
  <si>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</si>
  <si>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</si>
  <si>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</si>
  <si>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</si>
  <si>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</si>
  <si>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</si>
  <si>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</si>
  <si>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</si>
  <si>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</si>
  <si>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</si>
  <si>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</si>
  <si>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</si>
  <si>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</si>
  <si>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</si>
  <si>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</si>
  <si>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</si>
  <si>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</si>
  <si>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</si>
  <si>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</si>
  <si>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</si>
  <si>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</si>
  <si>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</si>
  <si>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</si>
  <si>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</si>
  <si>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</si>
  <si>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</si>
  <si>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</si>
  <si>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</si>
  <si>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</si>
  <si>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</si>
  <si>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</si>
  <si>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</si>
  <si>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</si>
  <si>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</si>
  <si>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</si>
  <si>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</si>
  <si>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</si>
  <si>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</si>
  <si>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</si>
  <si>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</si>
  <si>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</si>
  <si>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</si>
  <si>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</si>
  <si>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</si>
  <si>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</si>
  <si>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</si>
  <si>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</si>
  <si>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</si>
  <si>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</si>
  <si>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</si>
  <si>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</si>
  <si>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</si>
  <si>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</si>
  <si>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</si>
  <si>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</si>
  <si>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</si>
  <si>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</si>
  <si>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</si>
  <si>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</si>
  <si>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</si>
  <si>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</si>
  <si>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</si>
  <si>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</si>
  <si>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</si>
  <si>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</si>
  <si>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</si>
  <si>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</si>
  <si>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</si>
  <si>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</si>
  <si>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</si>
  <si>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</si>
  <si>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</si>
  <si>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</si>
  <si>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</si>
  <si>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</si>
  <si>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</si>
  <si>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</si>
  <si>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</si>
  <si>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</si>
  <si>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</si>
  <si>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</si>
  <si>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</si>
  <si>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</si>
  <si>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</si>
  <si>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</si>
  <si>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</si>
  <si>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</si>
  <si>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</si>
  <si>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</si>
  <si>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</si>
  <si>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</si>
  <si>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</si>
  <si>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</si>
  <si>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</si>
  <si>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</si>
  <si>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</si>
  <si>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</si>
  <si>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</si>
  <si>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</si>
  <si>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</si>
  <si>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</si>
  <si>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</si>
  <si>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</si>
  <si>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</si>
  <si>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</si>
  <si>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</si>
  <si>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</si>
  <si>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</si>
  <si>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</si>
  <si>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</si>
  <si>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</si>
  <si>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</si>
  <si>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</si>
  <si>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</si>
  <si>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</si>
  <si>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</si>
  <si>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</si>
  <si>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</si>
  <si>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</si>
  <si>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</si>
  <si>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</si>
  <si>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</si>
  <si>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</si>
  <si>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</si>
  <si>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</si>
  <si>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</si>
  <si>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</si>
  <si>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</si>
  <si>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</si>
  <si>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</si>
  <si>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</si>
  <si>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</si>
  <si>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</si>
  <si>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</si>
  <si>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</si>
  <si>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</si>
  <si>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</si>
  <si>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</si>
  <si>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</si>
  <si>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</si>
  <si>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</si>
  <si>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</si>
  <si>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</si>
  <si>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</si>
  <si>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</si>
  <si>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</si>
  <si>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</si>
  <si>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</si>
  <si>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</si>
  <si>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</si>
  <si>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</si>
  <si>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</si>
  <si>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</si>
  <si>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</si>
  <si>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</si>
  <si>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</si>
  <si>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</si>
  <si>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</si>
  <si>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</si>
  <si>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</si>
  <si>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</si>
  <si>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</si>
  <si>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</si>
  <si>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</si>
  <si>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</si>
  <si>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</si>
  <si>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</si>
  <si>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</si>
  <si>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</si>
  <si>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</si>
  <si>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</si>
  <si>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</si>
  <si>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</si>
  <si>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</si>
  <si>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</si>
  <si>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</si>
  <si>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</si>
  <si>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</si>
  <si>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</si>
  <si>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</si>
  <si>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</si>
  <si>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</si>
  <si>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</si>
  <si>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</si>
  <si>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</si>
  <si>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</si>
  <si>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</si>
  <si>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</si>
  <si>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</si>
  <si>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</si>
  <si>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</si>
  <si>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</si>
  <si>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</si>
  <si>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</si>
  <si>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</si>
  <si>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</si>
  <si>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</si>
  <si>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</si>
  <si>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</si>
  <si>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</si>
  <si>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</si>
  <si>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</si>
  <si>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</si>
  <si>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</si>
  <si>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</si>
  <si>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</si>
  <si>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</si>
  <si>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</si>
  <si>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</si>
  <si>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</si>
  <si>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</si>
  <si>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</si>
  <si>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</si>
  <si>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</si>
  <si>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</si>
  <si>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</si>
  <si>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</si>
  <si>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</si>
  <si>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</si>
  <si>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</si>
  <si>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</si>
  <si>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</si>
  <si>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</si>
  <si>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</si>
  <si>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</si>
  <si>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</si>
  <si>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</si>
  <si>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</si>
  <si>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</si>
  <si>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</si>
  <si>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</si>
  <si>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</si>
  <si>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</si>
  <si>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</si>
  <si>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</si>
  <si>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</si>
  <si>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</si>
  <si>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</si>
  <si>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</si>
  <si>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</si>
  <si>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</si>
  <si>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</si>
  <si>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</si>
  <si>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</si>
  <si>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</si>
  <si>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</si>
  <si>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</si>
  <si>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</si>
  <si>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</si>
  <si>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</si>
  <si>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</si>
  <si>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</si>
  <si>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</si>
  <si>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</si>
  <si>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</si>
  <si>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</si>
  <si>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</si>
  <si>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</si>
  <si>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</si>
  <si>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</si>
  <si>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</si>
  <si>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</si>
  <si>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</si>
  <si>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</si>
  <si>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</si>
  <si>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</si>
  <si>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</si>
  <si>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</si>
  <si>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</si>
  <si>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</si>
  <si>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</si>
  <si>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</si>
  <si>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</si>
  <si>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</si>
  <si>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</si>
  <si>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</si>
  <si>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</si>
  <si>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</si>
  <si>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</si>
  <si>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</si>
  <si>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</si>
  <si>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</si>
  <si>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</si>
  <si>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</si>
  <si>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</si>
  <si>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</si>
  <si>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</si>
  <si>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</si>
  <si>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</si>
  <si>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</si>
  <si>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</si>
  <si>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</si>
  <si>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</si>
  <si>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</si>
  <si>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</si>
  <si>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</si>
  <si>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</si>
  <si>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</si>
  <si>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</si>
  <si>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</si>
  <si>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</si>
  <si>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</si>
  <si>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</si>
  <si>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</si>
  <si>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</si>
  <si>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</si>
  <si>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</si>
  <si>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</si>
  <si>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</si>
  <si>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</si>
  <si>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</si>
  <si>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</si>
  <si>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</si>
  <si>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</si>
  <si>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</si>
  <si>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</si>
  <si>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</si>
  <si>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</si>
  <si>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</si>
  <si>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</si>
  <si>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</si>
  <si>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</si>
  <si>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</si>
  <si>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</si>
  <si>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</si>
  <si>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</si>
  <si>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</si>
  <si>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</si>
  <si>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</si>
  <si>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</si>
  <si>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Unique Campaign</t>
  </si>
  <si>
    <t>Unique Category</t>
  </si>
  <si>
    <t>Filter on:</t>
  </si>
  <si>
    <t>Low</t>
  </si>
  <si>
    <t>Medium</t>
  </si>
  <si>
    <t>High</t>
  </si>
  <si>
    <t>Untested</t>
  </si>
  <si>
    <t xml:space="preserve">Best  </t>
  </si>
  <si>
    <t xml:space="preserve">Worst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</si>
</sst>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&quot;HK$&quot;* #,##0.00_);_(&quot;HK$&quot;* \(#,##0.00\);_(&quot;HK$&quot;* &quot;-&quot;??_);_(@_)"/>
    <numFmt numFmtId="165" formatCode="_([$$-409]* #,##0_);_([$$-409]* \(#,##0\);_([$$-409]* &quot;-&quot;??_);_(@_)"/>
    <numFmt numFmtId="166" formatCode="[$-409]mmm\-yy;@"/>
    <numFmt numFmtId="167" formatCode="_(* #,##0_);_(* \(#,##0\);_(* &quot;-&quot;??_);_(@_)"/>
    <numFmt numFmtId="168" formatCode="_([$$-409]* #,##0.00_);_([$$-409]* \(#,##0.00\);_([$$-409]* &quot;-&quot;??_);_(@_)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32" borderId="0" applyNumberFormat="0" applyBorder="0" applyAlignment="0" applyProtection="0"/>
    <xf numFmtId="164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57">
    <xf numFmtId="0" fontId="0" fillId="0" borderId="0" xfId="0"/>
    <xf numFmtId="0" fontId="22" fillId="33" borderId="0" xfId="0" applyFont="1" applyFill="1"/>
    <xf numFmtId="166" fontId="22" fillId="33" borderId="0" xfId="0" applyNumberFormat="1" applyFont="1" applyFill="1"/>
    <xf numFmtId="0" fontId="23" fillId="0" borderId="0" xfId="0" applyFont="1"/>
    <xf numFmtId="166" fontId="23" fillId="0" borderId="0" xfId="0" applyNumberFormat="1" applyFont="1"/>
    <xf numFmtId="3" fontId="23" fillId="0" borderId="0" xfId="0" applyNumberFormat="1" applyFont="1"/>
    <xf numFmtId="0" fontId="4" fillId="0" borderId="0" xfId="0" applyFont="1"/>
    <xf numFmtId="165" fontId="4" fillId="0" borderId="0" xfId="42" applyNumberFormat="1" applyFont="1"/>
    <xf numFmtId="165" fontId="22" fillId="33" borderId="0" xfId="42" applyNumberFormat="1" applyFont="1" applyFill="1" applyAlignment="1">
      <alignment horizontal="right"/>
    </xf>
    <xf numFmtId="165" fontId="23" fillId="0" borderId="0" xfId="42" applyNumberFormat="1" applyFont="1"/>
    <xf numFmtId="165" fontId="4" fillId="0" borderId="0" xfId="0" applyNumberFormat="1" applyFont="1"/>
    <xf numFmtId="0" fontId="3" fillId="0" borderId="0" xfId="0" applyFont="1"/>
    <xf numFmtId="0" fontId="22" fillId="36" borderId="0" xfId="0" applyFont="1" applyFill="1"/>
    <xf numFmtId="167" fontId="3" fillId="0" borderId="0" xfId="47" applyNumberFormat="1" applyFont="1"/>
    <xf numFmtId="0" fontId="22" fillId="36" borderId="0" xfId="0" applyFont="1" applyFill="1" applyAlignment="1">
      <alignment horizontal="right"/>
    </xf>
    <xf numFmtId="167" fontId="3" fillId="37" borderId="0" xfId="47" applyNumberFormat="1" applyFont="1" applyFill="1"/>
    <xf numFmtId="0" fontId="26" fillId="0" borderId="0" xfId="0" applyFont="1"/>
    <xf numFmtId="0" fontId="22" fillId="38" borderId="0" xfId="0" applyFont="1" applyFill="1" applyAlignment="1">
      <alignment horizontal="left"/>
    </xf>
    <xf numFmtId="0" fontId="22" fillId="38" borderId="0" xfId="0" applyFont="1" applyFill="1" applyAlignment="1">
      <alignment horizontal="right"/>
    </xf>
    <xf numFmtId="167" fontId="3" fillId="34" borderId="0" xfId="47" applyNumberFormat="1" applyFont="1" applyFill="1"/>
    <xf numFmtId="167" fontId="3" fillId="35" borderId="0" xfId="47" applyNumberFormat="1" applyFont="1" applyFill="1"/>
    <xf numFmtId="9" fontId="3" fillId="35" borderId="0" xfId="48" applyFont="1" applyFill="1"/>
    <xf numFmtId="168" fontId="4" fillId="34" borderId="0" xfId="42" applyNumberFormat="1" applyFont="1" applyFill="1"/>
    <xf numFmtId="164" fontId="22" fillId="39" borderId="0" xfId="0" applyNumberFormat="1" applyFont="1" applyFill="1" applyAlignment="1">
      <alignment horizontal="right"/>
    </xf>
    <xf numFmtId="165" fontId="4" fillId="35" borderId="0" xfId="0" applyNumberFormat="1" applyFont="1" applyFill="1"/>
    <xf numFmtId="164" fontId="22" fillId="39" borderId="0" xfId="0" applyNumberFormat="1" applyFont="1" applyFill="1" applyAlignment="1">
      <alignment horizontal="left"/>
    </xf>
    <xf numFmtId="165" fontId="22" fillId="39" borderId="0" xfId="0" applyNumberFormat="1" applyFont="1" applyFill="1" applyAlignment="1"/>
    <xf numFmtId="165" fontId="4" fillId="35" borderId="0" xfId="0" applyNumberFormat="1" applyFont="1" applyFill="1" applyAlignment="1"/>
    <xf numFmtId="165" fontId="4" fillId="0" borderId="0" xfId="0" applyNumberFormat="1" applyFont="1" applyAlignment="1"/>
    <xf numFmtId="165" fontId="22" fillId="39" borderId="0" xfId="0" applyNumberFormat="1" applyFont="1" applyFill="1" applyAlignment="1">
      <alignment horizontal="right"/>
    </xf>
    <xf numFmtId="0" fontId="22" fillId="40" borderId="0" xfId="0" applyFont="1" applyFill="1" applyAlignment="1">
      <alignment horizontal="right"/>
    </xf>
    <xf numFmtId="0" fontId="22" fillId="40" borderId="0" xfId="0" applyFont="1" applyFill="1"/>
    <xf numFmtId="167" fontId="27" fillId="0" borderId="0" xfId="47" applyNumberFormat="1" applyFont="1" applyFill="1"/>
    <xf numFmtId="0" fontId="27" fillId="40" borderId="0" xfId="0" applyFont="1" applyFill="1"/>
    <xf numFmtId="168" fontId="27" fillId="0" borderId="0" xfId="47" applyNumberFormat="1" applyFont="1" applyFill="1"/>
    <xf numFmtId="0" fontId="22" fillId="33" borderId="0" xfId="0" applyFont="1" applyFill="1" applyAlignment="1">
      <alignment horizontal="left"/>
    </xf>
    <xf numFmtId="2" fontId="22" fillId="33" borderId="0" xfId="0" applyNumberFormat="1" applyFont="1" applyFill="1" applyAlignment="1">
      <alignment horizontal="left"/>
    </xf>
    <xf numFmtId="0" fontId="22" fillId="39" borderId="0" xfId="0" applyFont="1" applyFill="1" applyAlignment="1">
      <alignment horizontal="left"/>
    </xf>
    <xf numFmtId="2" fontId="22" fillId="39" borderId="0" xfId="0" applyNumberFormat="1" applyFont="1" applyFill="1" applyAlignment="1">
      <alignment horizontal="left"/>
    </xf>
    <xf numFmtId="0" fontId="29" fillId="40" borderId="0" xfId="0" applyFont="1" applyFill="1"/>
    <xf numFmtId="0" fontId="28" fillId="41" borderId="10" xfId="0" applyFont="1" applyFill="1" applyBorder="1"/>
    <xf numFmtId="0" fontId="2" fillId="0" borderId="0" xfId="0" applyFont="1"/>
    <xf numFmtId="0" fontId="22" fillId="38" borderId="0" xfId="0" applyFont="1" applyFill="1"/>
    <xf numFmtId="0" fontId="30" fillId="0" borderId="0" xfId="0" applyFont="1"/>
    <xf numFmtId="0" fontId="1" fillId="40" borderId="0" xfId="0" applyFont="1" applyFill="1"/>
    <xf numFmtId="0" fontId="26" fillId="40" borderId="0" xfId="0" applyFont="1" applyFill="1"/>
    <xf numFmtId="0" fontId="1" fillId="0" borderId="0" xfId="0" applyFont="1"/>
    <xf numFmtId="0" fontId="1" fillId="0" borderId="0" xfId="0" applyFont="1" applyFill="1"/>
    <xf numFmtId="0" fontId="31" fillId="42" borderId="0" xfId="0" applyFont="1" applyFill="1"/>
    <xf numFmtId="0" fontId="26" fillId="40" borderId="0" xfId="0" applyFont="1" applyFill="1" applyAlignment="1">
      <alignment horizontal="right"/>
    </xf>
    <xf numFmtId="0" fontId="1" fillId="0" borderId="10" xfId="0" applyFont="1" applyFill="1" applyBorder="1"/>
    <xf numFmtId="167" fontId="27" fillId="35" borderId="0" xfId="47" applyNumberFormat="1" applyFont="1" applyFill="1"/>
    <xf numFmtId="165" fontId="27" fillId="35" borderId="0" xfId="47" applyNumberFormat="1" applyFont="1" applyFill="1"/>
    <xf numFmtId="168" fontId="1" fillId="35" borderId="0" xfId="0" applyNumberFormat="1" applyFont="1" applyFill="1"/>
    <xf numFmtId="165" fontId="27" fillId="34" borderId="0" xfId="47" applyNumberFormat="1" applyFont="1" applyFill="1"/>
    <xf numFmtId="0" fontId="1" fillId="34" borderId="0" xfId="0" applyFont="1" applyFill="1"/>
    <xf numFmtId="0" fontId="3" fillId="0" borderId="0" xfId="0" applyFont="1" applyAlignment="1">
      <alignment horizontal="center" textRotation="90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zoomScale="130" zoomScaleNormal="130" workbookViewId="0">
      <selection activeCell="M11" sqref="M11"/>
    </sheetView>
  </sheetViews>
  <sheetFormatPr baseColWidth="10" defaultRowHeight="16" x14ac:dyDescent="0.2"/>
  <cols>
    <col min="1" max="1" width="4.33203125" style="46" customWidth="1"/>
    <col min="2" max="2" width="5.6640625" style="46" customWidth="1"/>
    <col min="3" max="3" width="15" style="46" customWidth="1"/>
    <col min="4" max="4" width="10.33203125" style="46" customWidth="1"/>
    <col min="5" max="5" width="10.1640625" style="46" customWidth="1"/>
    <col min="6" max="6" width="14.1640625" style="46" customWidth="1"/>
    <col min="7" max="7" width="5.83203125" style="46" customWidth="1"/>
    <col min="8" max="8" width="4.6640625" style="46" customWidth="1"/>
    <col min="9" max="9" width="5.6640625" style="46" customWidth="1"/>
    <col min="10" max="13" width="14.83203125" style="46" customWidth="1"/>
    <col min="14" max="14" width="5.83203125" style="46" customWidth="1"/>
    <col min="15" max="16384" width="10.83203125" style="46"/>
  </cols>
  <sheetData>
    <row r="1" spans="2:14" x14ac:dyDescent="0.2">
      <c r="B1" s="44"/>
      <c r="C1" s="44"/>
      <c r="D1" s="44"/>
      <c r="E1" s="44"/>
      <c r="F1" s="44"/>
      <c r="G1" s="44"/>
      <c r="I1" s="44"/>
      <c r="J1" s="44"/>
      <c r="K1" s="44"/>
      <c r="L1" s="44"/>
      <c r="M1" s="44"/>
      <c r="N1" s="44"/>
    </row>
    <row r="2" spans="2:14" x14ac:dyDescent="0.2">
      <c r="B2" s="31"/>
      <c r="C2" s="39" t="s">
        <v>409</v>
      </c>
      <c r="D2" s="44"/>
      <c r="E2" s="44"/>
      <c r="F2" s="44"/>
      <c r="G2" s="44"/>
      <c r="I2" s="31"/>
      <c r="J2" s="45" t="s">
        <v>413</v>
      </c>
      <c r="K2" s="44"/>
      <c r="L2" s="44"/>
      <c r="M2" s="44"/>
      <c r="N2" s="44"/>
    </row>
    <row r="3" spans="2:14" x14ac:dyDescent="0.2">
      <c r="B3" s="30"/>
      <c r="C3" s="40" t="s">
        <v>313</v>
      </c>
      <c r="D3" s="44"/>
      <c r="E3" s="32">
        <f>COUNTIF(CATEGORY,dashboard!$C$3)</f>
        <v>186</v>
      </c>
      <c r="F3" s="33" t="s">
        <v>410</v>
      </c>
      <c r="G3" s="44"/>
      <c r="I3" s="30"/>
      <c r="J3" s="48" t="s">
        <v>382</v>
      </c>
      <c r="K3" s="48" t="s">
        <v>0</v>
      </c>
      <c r="L3" s="48" t="s">
        <v>389</v>
      </c>
      <c r="M3" s="48" t="s">
        <v>406</v>
      </c>
      <c r="N3" s="44"/>
    </row>
    <row r="4" spans="2:14" x14ac:dyDescent="0.2">
      <c r="B4" s="44"/>
      <c r="C4" s="44"/>
      <c r="D4" s="44"/>
      <c r="E4" s="44"/>
      <c r="F4" s="44"/>
      <c r="G4" s="44"/>
      <c r="I4" s="44"/>
      <c r="J4" s="50"/>
      <c r="K4" s="50"/>
      <c r="L4" s="50"/>
      <c r="M4" s="50"/>
      <c r="N4" s="44"/>
    </row>
    <row r="5" spans="2:14" x14ac:dyDescent="0.2">
      <c r="B5" s="44"/>
      <c r="C5" s="35" t="s">
        <v>381</v>
      </c>
      <c r="D5" s="36" t="s">
        <v>399</v>
      </c>
      <c r="E5" s="36" t="s">
        <v>408</v>
      </c>
      <c r="F5" s="36" t="s">
        <v>389</v>
      </c>
      <c r="G5" s="44"/>
      <c r="I5" s="44"/>
      <c r="J5" s="44"/>
      <c r="K5" s="44"/>
      <c r="L5" s="44"/>
      <c r="M5" s="44"/>
      <c r="N5" s="44"/>
    </row>
    <row r="6" spans="2:14" x14ac:dyDescent="0.2">
      <c r="B6" s="44"/>
      <c r="C6" s="34">
        <f>SUMIF(CATEGORY,dashboard!$C$3,marketing_perf!H2:H381)</f>
        <v>9601.3100000000013</v>
      </c>
      <c r="D6" s="32">
        <f>SUMIF(CATEGORY,dashboard!$C$3,marketing_perf!E2:E381)</f>
        <v>11481</v>
      </c>
      <c r="E6" s="32">
        <f>SUMIF(CATEGORY,dashboard!$C$3,marketing_perf!F2:F381)</f>
        <v>266</v>
      </c>
      <c r="F6" s="34">
        <f>SUMIF(CATEGORY,dashboard!$C$3,marketing_perf!G2:G381)</f>
        <v>21289.690000000006</v>
      </c>
      <c r="G6" s="44"/>
      <c r="I6" s="44"/>
      <c r="J6" s="55">
        <f>DCOUNTA(MARKETING_PERF,"Unique Key Phrases",J3:$M$4)</f>
        <v>380</v>
      </c>
      <c r="K6" s="44" t="s">
        <v>410</v>
      </c>
      <c r="L6" s="44"/>
      <c r="M6" s="44"/>
      <c r="N6" s="44"/>
    </row>
    <row r="7" spans="2:14" x14ac:dyDescent="0.2">
      <c r="B7" s="44"/>
      <c r="C7" s="44"/>
      <c r="D7" s="44"/>
      <c r="E7" s="44"/>
      <c r="F7" s="44"/>
      <c r="G7" s="44"/>
      <c r="I7" s="44"/>
      <c r="J7" s="44"/>
      <c r="K7" s="44"/>
      <c r="L7" s="44"/>
      <c r="M7" s="44"/>
      <c r="N7" s="44"/>
    </row>
    <row r="8" spans="2:14" x14ac:dyDescent="0.2">
      <c r="B8" s="44"/>
      <c r="C8" s="44"/>
      <c r="D8" s="44"/>
      <c r="E8" s="44"/>
      <c r="F8" s="44"/>
      <c r="G8" s="44"/>
      <c r="I8" s="44"/>
      <c r="J8" s="44"/>
      <c r="K8" s="44"/>
      <c r="L8" s="44"/>
      <c r="M8" s="44"/>
      <c r="N8" s="44"/>
    </row>
    <row r="9" spans="2:14" x14ac:dyDescent="0.2">
      <c r="B9" s="47"/>
      <c r="C9" s="47"/>
      <c r="D9" s="47"/>
      <c r="E9" s="47"/>
      <c r="F9" s="47"/>
      <c r="G9" s="47"/>
      <c r="I9" s="44"/>
      <c r="J9" s="37" t="s">
        <v>381</v>
      </c>
      <c r="K9" s="38" t="s">
        <v>399</v>
      </c>
      <c r="L9" s="38" t="s">
        <v>398</v>
      </c>
      <c r="M9" s="38" t="s">
        <v>389</v>
      </c>
      <c r="N9" s="44"/>
    </row>
    <row r="10" spans="2:14" x14ac:dyDescent="0.2">
      <c r="B10"/>
      <c r="C10"/>
      <c r="D10"/>
      <c r="E10"/>
      <c r="F10"/>
      <c r="G10"/>
      <c r="I10" s="44"/>
      <c r="J10" s="54">
        <f>DSUM(MARKETING_PERF,J9,$J$3:$M$4)</f>
        <v>31130.839999999967</v>
      </c>
      <c r="K10" s="51">
        <f>DSUM(MARKETING_PERF,K9,$J$3:$M$4)</f>
        <v>26443</v>
      </c>
      <c r="L10" s="51">
        <f>DSUM(MARKETING_PERF,L9,$J$3:$M$4)</f>
        <v>676</v>
      </c>
      <c r="M10" s="52">
        <f>DSUM(MARKETING_PERF,M9,$J$3:$M$4)</f>
        <v>52930.620000000017</v>
      </c>
      <c r="N10" s="44"/>
    </row>
    <row r="11" spans="2:14" x14ac:dyDescent="0.2">
      <c r="B11"/>
      <c r="C11"/>
      <c r="D11"/>
      <c r="E11"/>
      <c r="F11"/>
      <c r="G11"/>
      <c r="I11" s="44"/>
      <c r="J11" s="44"/>
      <c r="K11" s="44"/>
      <c r="L11" s="44"/>
      <c r="M11" s="44"/>
      <c r="N11" s="44"/>
    </row>
    <row r="12" spans="2:14" x14ac:dyDescent="0.2">
      <c r="B12"/>
      <c r="C12"/>
      <c r="D12"/>
      <c r="E12"/>
      <c r="F12"/>
      <c r="G12"/>
      <c r="I12" s="44"/>
      <c r="J12" s="44"/>
      <c r="K12" s="44"/>
      <c r="L12" s="44"/>
      <c r="M12" s="44"/>
      <c r="N12" s="44"/>
    </row>
    <row r="13" spans="2:14" x14ac:dyDescent="0.2">
      <c r="B13"/>
      <c r="C13"/>
      <c r="D13"/>
      <c r="E13"/>
      <c r="F13"/>
      <c r="G13"/>
      <c r="I13" s="44"/>
      <c r="J13" s="44"/>
      <c r="K13" s="38" t="s">
        <v>404</v>
      </c>
      <c r="L13" s="38" t="s">
        <v>405</v>
      </c>
      <c r="M13" s="38" t="s">
        <v>389</v>
      </c>
      <c r="N13" s="44"/>
    </row>
    <row r="14" spans="2:14" x14ac:dyDescent="0.2">
      <c r="B14"/>
      <c r="C14"/>
      <c r="D14"/>
      <c r="E14"/>
      <c r="F14"/>
      <c r="G14"/>
      <c r="I14" s="44"/>
      <c r="J14" s="49" t="s">
        <v>418</v>
      </c>
      <c r="K14" s="53">
        <f>DMIN(MARKETING_PERF,K$13,$J$3:$M$4)</f>
        <v>0.10777777777777778</v>
      </c>
      <c r="L14" s="53">
        <f>DMAX(MARKETING_PERF,L$13,$J$3:$M$4)</f>
        <v>720</v>
      </c>
      <c r="M14" s="53">
        <f>DMAX(MARKETING_PERF,M$13,$J$3:$M$4)</f>
        <v>4846.3500000000004</v>
      </c>
      <c r="N14" s="44"/>
    </row>
    <row r="15" spans="2:14" x14ac:dyDescent="0.2">
      <c r="B15"/>
      <c r="C15"/>
      <c r="D15"/>
      <c r="E15"/>
      <c r="F15"/>
      <c r="G15"/>
      <c r="I15" s="44"/>
      <c r="J15" s="49" t="s">
        <v>419</v>
      </c>
      <c r="K15" s="53">
        <f>DMAX(MARKETING_PERF,$K$13,$J$3:$M$4)</f>
        <v>7.49</v>
      </c>
      <c r="L15" s="53">
        <f>DMIN(MARKETING_PERF,L$13,$J$3:$M$4)</f>
        <v>5.99</v>
      </c>
      <c r="M15" s="53">
        <f>DMIN(MARKETING_PERF,M$13,$J$3:$M$4)</f>
        <v>0</v>
      </c>
      <c r="N15" s="44"/>
    </row>
    <row r="16" spans="2:14" x14ac:dyDescent="0.2">
      <c r="B16"/>
      <c r="C16"/>
      <c r="D16"/>
      <c r="E16"/>
      <c r="F16"/>
      <c r="G16"/>
      <c r="I16" s="44"/>
      <c r="J16" s="44"/>
      <c r="K16" s="44"/>
      <c r="L16" s="44"/>
      <c r="M16" s="44"/>
      <c r="N16" s="44"/>
    </row>
    <row r="17" spans="2:14" x14ac:dyDescent="0.2">
      <c r="B17"/>
      <c r="C17"/>
      <c r="D17"/>
      <c r="E17"/>
      <c r="F17"/>
      <c r="G17"/>
      <c r="I17" s="44"/>
      <c r="J17" s="44"/>
      <c r="K17" s="44"/>
      <c r="L17" s="44"/>
      <c r="M17" s="44"/>
      <c r="N17" s="44"/>
    </row>
    <row r="18" spans="2:14" x14ac:dyDescent="0.2">
      <c r="B18"/>
      <c r="C18"/>
      <c r="D18"/>
      <c r="E18"/>
      <c r="F18"/>
      <c r="G18"/>
      <c r="I18" s="44"/>
      <c r="J18" s="44"/>
      <c r="K18" s="44"/>
      <c r="L18" s="44"/>
      <c r="M18" s="44"/>
      <c r="N18" s="44"/>
    </row>
    <row r="19" spans="2:14" x14ac:dyDescent="0.2">
      <c r="B19"/>
      <c r="C19"/>
      <c r="D19"/>
      <c r="E19"/>
      <c r="F19"/>
      <c r="G19"/>
      <c r="I19" s="44"/>
      <c r="J19" s="44"/>
      <c r="K19" s="44"/>
      <c r="L19" s="44"/>
      <c r="M19" s="44"/>
      <c r="N19" s="44"/>
    </row>
    <row r="20" spans="2:14" x14ac:dyDescent="0.2">
      <c r="B20"/>
      <c r="C20"/>
      <c r="D20"/>
      <c r="E20"/>
      <c r="F20"/>
      <c r="G20"/>
      <c r="I20" s="44"/>
      <c r="J20" s="44"/>
      <c r="K20" s="44"/>
      <c r="L20" s="44"/>
      <c r="M20" s="44"/>
      <c r="N20" s="44"/>
    </row>
    <row r="21" spans="2:14" x14ac:dyDescent="0.2">
      <c r="B21"/>
      <c r="C21"/>
      <c r="D21"/>
      <c r="E21"/>
      <c r="F21"/>
      <c r="G21"/>
      <c r="I21" s="44"/>
      <c r="J21" s="44"/>
      <c r="K21" s="44"/>
      <c r="L21" s="44"/>
      <c r="M21" s="44"/>
      <c r="N21" s="44"/>
    </row>
    <row r="22" spans="2:14" x14ac:dyDescent="0.2">
      <c r="B22"/>
      <c r="C22"/>
      <c r="D22"/>
      <c r="E22"/>
      <c r="F22"/>
      <c r="G22"/>
      <c r="I22" s="44"/>
      <c r="J22" s="44"/>
      <c r="K22" s="44"/>
      <c r="L22" s="44"/>
      <c r="M22" s="44"/>
      <c r="N22" s="44"/>
    </row>
    <row r="23" spans="2:14" x14ac:dyDescent="0.2">
      <c r="B23"/>
      <c r="C23"/>
      <c r="D23"/>
      <c r="E23"/>
      <c r="F23"/>
      <c r="G23"/>
      <c r="I23" s="44"/>
      <c r="J23" s="44"/>
      <c r="K23" s="44"/>
      <c r="L23" s="44"/>
      <c r="M23" s="44"/>
      <c r="N23" s="44"/>
    </row>
    <row r="24" spans="2:14" x14ac:dyDescent="0.2">
      <c r="B24"/>
      <c r="C24"/>
      <c r="D24"/>
      <c r="E24"/>
      <c r="F24"/>
      <c r="G24"/>
      <c r="I24" s="44"/>
      <c r="J24" s="44"/>
      <c r="K24" s="44"/>
      <c r="L24" s="44"/>
      <c r="M24" s="44"/>
      <c r="N24" s="44"/>
    </row>
    <row r="25" spans="2:14" x14ac:dyDescent="0.2">
      <c r="B25"/>
      <c r="C25"/>
      <c r="D25"/>
      <c r="E25"/>
      <c r="F25"/>
      <c r="G25"/>
      <c r="I25" s="44"/>
      <c r="J25" s="44"/>
      <c r="K25" s="44"/>
      <c r="L25" s="44"/>
      <c r="M25" s="44"/>
      <c r="N25" s="44"/>
    </row>
    <row r="26" spans="2:14" x14ac:dyDescent="0.2">
      <c r="B26"/>
      <c r="C26"/>
      <c r="D26"/>
      <c r="E26"/>
      <c r="F26"/>
      <c r="G26"/>
      <c r="I26" s="44"/>
      <c r="J26" s="44"/>
      <c r="K26" s="44"/>
      <c r="L26" s="44"/>
      <c r="M26" s="44"/>
      <c r="N26" s="44"/>
    </row>
    <row r="27" spans="2:14" x14ac:dyDescent="0.2">
      <c r="B27"/>
      <c r="C27"/>
      <c r="D27"/>
      <c r="E27"/>
      <c r="F27"/>
      <c r="G27"/>
      <c r="I27" s="44"/>
      <c r="J27" s="44"/>
      <c r="K27" s="44"/>
      <c r="L27" s="44"/>
      <c r="M27" s="44"/>
      <c r="N27" s="4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misc!$A$2:$A$8</xm:f>
          </x14:formula1>
          <xm:sqref>C3 J4</xm:sqref>
        </x14:dataValidation>
        <x14:dataValidation type="list" allowBlank="1" showInputMessage="1" showErrorMessage="1">
          <x14:formula1>
            <xm:f>misc!$C$2:$C$6</xm:f>
          </x14:formula1>
          <xm:sqref>K4</xm:sqref>
        </x14:dataValidation>
        <x14:dataValidation type="list" allowBlank="1" showInputMessage="1" showErrorMessage="1">
          <x14:formula1>
            <xm:f>misc!$E$2:$E$5</xm:f>
          </x14:formula1>
          <xm:sqref>M4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zoomScale="130" zoomScaleNormal="130" workbookViewId="0">
      <pane ySplit="1" topLeftCell="A360" activePane="bottomLeft" state="frozen"/>
      <selection pane="bottomLeft" activeCell="A360" sqref="A360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8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9" t="s">
        <v>405</v>
      </c>
      <c r="L1" s="26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IF(ISNUMBER(I2),IF(I2&lt;=0.5,"Low",IF(I2&lt;=1.5,"Medium","High")),"Untested")</f>
        <v>High</v>
      </c>
      <c r="K2" s="24">
        <f>IF(G2&gt;0,G2/F2,"")</f>
        <v>69.233571428571437</v>
      </c>
      <c r="L2" s="27" t="str">
        <f>IF(ISNUMBER(K2),IF(K2&lt;=75,"Low",IF(K2&lt;=200,"Medium","High")),"Untested")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IF(ISNUMBER(I3),IF(I3&lt;=0.5,"Low",IF(I3&lt;=1.5,"Medium","High")),"Untested")</f>
        <v>High</v>
      </c>
      <c r="K3" s="24">
        <f t="shared" ref="K3:K66" si="2">IF(G3&gt;0,G3/F3,"")</f>
        <v>67.735749999999996</v>
      </c>
      <c r="L3" s="27" t="str">
        <f t="shared" ref="L3:L66" si="3">IF(ISNUMBER(K3),IF(K3&lt;=75,"Low",IF(K3&lt;=200,"Medium","High")),"Untested")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7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7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7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7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7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7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7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7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7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7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7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7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7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7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7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7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7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7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7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7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7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7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7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7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7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7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7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7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7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7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7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7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7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7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7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7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7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7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7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7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7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7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7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7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7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7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7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7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7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7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7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7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7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7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7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7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7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7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7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7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7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7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7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IF(ISNUMBER(I67),IF(I67&lt;=0.5,"Low",IF(I67&lt;=1.5,"Medium","High")),"Untested")</f>
        <v>Medium</v>
      </c>
      <c r="K67" s="24">
        <f t="shared" ref="K67:K130" si="6">IF(G67&gt;0,G67/F67,"")</f>
        <v>70.8</v>
      </c>
      <c r="L67" s="27" t="str">
        <f t="shared" ref="L67:L130" si="7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7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7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7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7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7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7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7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7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7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7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7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7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7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7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7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7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7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7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7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7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7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7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7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7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7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7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7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7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7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7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7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7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7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7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7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7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7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7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7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7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7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7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7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7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7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7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7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7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7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7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7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7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7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7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7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7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7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7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7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7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7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7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7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IF(ISNUMBER(I131),IF(I131&lt;=0.5,"Low",IF(I131&lt;=1.5,"Medium","High")),"Untested")</f>
        <v>Low</v>
      </c>
      <c r="K131" s="24">
        <f t="shared" ref="K131:K194" si="10">IF(G131&gt;0,G131/F131,"")</f>
        <v>80</v>
      </c>
      <c r="L131" s="27" t="str">
        <f t="shared" ref="L131:L194" si="11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7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7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7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7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7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7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7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7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7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7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7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7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7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7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7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7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7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7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7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7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7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7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7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7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7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7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7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7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7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7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7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7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7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7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7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7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7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7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7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7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7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7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7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7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7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7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7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7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7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7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7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7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7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7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7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7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7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7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7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7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7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7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7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IF(ISNUMBER(I195),IF(I195&lt;=0.5,"Low",IF(I195&lt;=1.5,"Medium","High")),"Untested")</f>
        <v>Medium</v>
      </c>
      <c r="K195" s="24">
        <f t="shared" ref="K195:K258" si="14">IF(G195&gt;0,G195/F195,"")</f>
        <v>39</v>
      </c>
      <c r="L195" s="27" t="str">
        <f t="shared" ref="L195:L258" si="15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7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7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7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7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7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7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7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7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7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7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7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7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7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7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7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7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7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7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7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7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7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7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7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7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7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7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7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7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7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7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7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7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7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7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7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7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7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7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7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7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7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7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7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7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7" t="str">
        <f t="shared" si="15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7" t="str">
        <f t="shared" si="15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7" t="str">
        <f t="shared" si="15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7" t="str">
        <f t="shared" si="15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7" t="str">
        <f t="shared" si="15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7" t="str">
        <f t="shared" si="15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7" t="str">
        <f t="shared" si="15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7" t="str">
        <f t="shared" si="15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7" t="str">
        <f t="shared" si="15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7" t="str">
        <f t="shared" si="15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7" t="str">
        <f t="shared" si="15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7" t="str">
        <f t="shared" si="15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7" t="str">
        <f t="shared" si="15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7" t="str">
        <f t="shared" si="15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7" t="str">
        <f t="shared" si="15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>Untested</v>
      </c>
      <c r="K255" s="24" t="str">
        <f t="shared" si="14"/>
        <v/>
      </c>
      <c r="L255" s="27" t="str">
        <f t="shared" si="15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7" t="str">
        <f t="shared" si="15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7" t="str">
        <f t="shared" si="15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7" t="str">
        <f t="shared" si="15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IF(ISNUMBER(I259),IF(I259&lt;=0.5,"Low",IF(I259&lt;=1.5,"Medium","High")),"Untested")</f>
        <v>Medium</v>
      </c>
      <c r="K259" s="24" t="str">
        <f t="shared" ref="K259:K322" si="18">IF(G259&gt;0,G259/F259,"")</f>
        <v/>
      </c>
      <c r="L259" s="27" t="str">
        <f t="shared" ref="L259:L322" si="19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7" t="str">
        <f t="shared" si="19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7" t="str">
        <f t="shared" si="19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7" t="str">
        <f t="shared" si="19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7" t="str">
        <f t="shared" si="19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7" t="str">
        <f t="shared" si="19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7" t="str">
        <f t="shared" si="19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>Untested</v>
      </c>
      <c r="K266" s="24" t="str">
        <f t="shared" si="18"/>
        <v/>
      </c>
      <c r="L266" s="27" t="str">
        <f t="shared" si="19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7" t="str">
        <f t="shared" si="19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7" t="str">
        <f t="shared" si="19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7" t="str">
        <f t="shared" si="19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7" t="str">
        <f t="shared" si="19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7" t="str">
        <f t="shared" si="19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7" t="str">
        <f t="shared" si="19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7" t="str">
        <f t="shared" si="19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7" t="str">
        <f t="shared" si="19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7" t="str">
        <f t="shared" si="19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7" t="str">
        <f t="shared" si="19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7" t="str">
        <f t="shared" si="19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7" t="str">
        <f t="shared" si="19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7" t="str">
        <f t="shared" si="19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7" t="str">
        <f t="shared" si="19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7" t="str">
        <f t="shared" si="19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7" t="str">
        <f t="shared" si="19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7" t="str">
        <f t="shared" si="19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7" t="str">
        <f t="shared" si="19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7" t="str">
        <f t="shared" si="19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7" t="str">
        <f t="shared" si="19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7" t="str">
        <f t="shared" si="19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7" t="str">
        <f t="shared" si="19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7" t="str">
        <f t="shared" si="19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7" t="str">
        <f t="shared" si="19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7" t="str">
        <f t="shared" si="19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7" t="str">
        <f t="shared" si="19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7" t="str">
        <f t="shared" si="19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7" t="str">
        <f t="shared" si="19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7" t="str">
        <f t="shared" si="19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7" t="str">
        <f t="shared" si="19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7" t="str">
        <f t="shared" si="19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7" t="str">
        <f t="shared" si="19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7" t="str">
        <f t="shared" si="19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7" t="str">
        <f t="shared" si="19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7" t="str">
        <f t="shared" si="19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7" t="str">
        <f t="shared" si="19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7" t="str">
        <f t="shared" si="19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7" t="str">
        <f t="shared" si="19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7" t="str">
        <f t="shared" si="19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7" t="str">
        <f t="shared" si="19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7" t="str">
        <f t="shared" si="19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7" t="str">
        <f t="shared" si="19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7" t="str">
        <f t="shared" si="19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7" t="str">
        <f t="shared" si="19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7" t="str">
        <f t="shared" si="19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7" t="str">
        <f t="shared" si="19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7" t="str">
        <f t="shared" si="19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7" t="str">
        <f t="shared" si="19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7" t="str">
        <f t="shared" si="19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7" t="str">
        <f t="shared" si="19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7" t="str">
        <f t="shared" si="19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7" t="str">
        <f t="shared" si="19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7" t="str">
        <f t="shared" si="19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7" t="str">
        <f t="shared" si="19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7" t="str">
        <f t="shared" si="19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7" t="str">
        <f t="shared" si="19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IF(ISNUMBER(I323),IF(I323&lt;=0.5,"Low",IF(I323&lt;=1.5,"Medium","High")),"Untested")</f>
        <v>Medium</v>
      </c>
      <c r="K323" s="24" t="str">
        <f t="shared" ref="K323:K381" si="22">IF(G323&gt;0,G323/F323,"")</f>
        <v/>
      </c>
      <c r="L323" s="27" t="str">
        <f t="shared" ref="L323:L381" si="23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7" t="str">
        <f t="shared" si="23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>Untested</v>
      </c>
      <c r="K325" s="24" t="str">
        <f t="shared" si="22"/>
        <v/>
      </c>
      <c r="L325" s="27" t="str">
        <f t="shared" si="23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7" t="str">
        <f t="shared" si="23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7" t="str">
        <f t="shared" si="23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7" t="str">
        <f t="shared" si="23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7" t="str">
        <f t="shared" si="23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7" t="str">
        <f t="shared" si="23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7" t="str">
        <f t="shared" si="23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7" t="str">
        <f t="shared" si="23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7" t="str">
        <f t="shared" si="23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7" t="str">
        <f t="shared" si="23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7" t="str">
        <f t="shared" si="23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7" t="str">
        <f t="shared" si="23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7" t="str">
        <f t="shared" si="23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7" t="str">
        <f t="shared" si="23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7" t="str">
        <f t="shared" si="23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7" t="str">
        <f t="shared" si="23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7" t="str">
        <f t="shared" si="23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7" t="str">
        <f t="shared" si="23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7" t="str">
        <f t="shared" si="23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7" t="str">
        <f t="shared" si="23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7" t="str">
        <f t="shared" si="23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7" t="str">
        <f t="shared" si="23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7" t="str">
        <f t="shared" si="23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7" t="str">
        <f t="shared" si="23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7" t="str">
        <f t="shared" si="23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7" t="str">
        <f t="shared" si="23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7" t="str">
        <f t="shared" si="23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7" t="str">
        <f t="shared" si="23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7" t="str">
        <f t="shared" si="23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7" t="str">
        <f t="shared" si="23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7" t="str">
        <f t="shared" si="23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7" t="str">
        <f t="shared" si="23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7" t="str">
        <f t="shared" si="23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7" t="str">
        <f t="shared" si="23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7" t="str">
        <f t="shared" si="23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7" t="str">
        <f t="shared" si="23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7" t="str">
        <f t="shared" si="23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7" t="str">
        <f t="shared" si="23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7" t="str">
        <f t="shared" si="23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7" t="str">
        <f t="shared" si="23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7" t="str">
        <f t="shared" si="23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7" t="str">
        <f t="shared" si="23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7" t="str">
        <f t="shared" si="23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7" t="str">
        <f t="shared" si="23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7" t="str">
        <f t="shared" si="23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7" t="str">
        <f t="shared" si="23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7" t="str">
        <f t="shared" si="23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7" t="str">
        <f t="shared" si="23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7" t="str">
        <f t="shared" si="23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7" t="str">
        <f t="shared" si="23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7" t="str">
        <f t="shared" si="23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7" t="str">
        <f t="shared" si="23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7" t="str">
        <f t="shared" si="23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7" t="str">
        <f t="shared" si="23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7" t="str">
        <f t="shared" si="23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7" t="str">
        <f t="shared" si="23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7" t="str">
        <f t="shared" si="23"/>
        <v>Untested</v>
      </c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56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56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56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56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56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56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1"/>
  <sheetViews>
    <sheetView zoomScale="130" zoomScaleNormal="130" workbookViewId="0">
      <selection activeCell="F8" sqref="F8"/>
    </sheetView>
  </sheetViews>
  <sheetFormatPr baseColWidth="10" defaultRowHeight="16" x14ac:dyDescent="0.2"/>
  <cols>
    <col min="1" max="1" width="15.5" style="41" customWidth="1"/>
    <col min="2" max="2" width="4.1640625" style="41" customWidth="1"/>
    <col min="3" max="3" width="16.5" style="41" customWidth="1"/>
    <col min="4" max="4" width="4.1640625" style="41" customWidth="1"/>
    <col min="5" max="5" width="17" style="41" customWidth="1"/>
    <col min="6" max="16384" width="10.83203125" style="41"/>
  </cols>
  <sheetData>
    <row r="1" spans="1:5" x14ac:dyDescent="0.2">
      <c r="A1" s="42" t="s">
        <v>412</v>
      </c>
      <c r="C1" s="42" t="s">
        <v>411</v>
      </c>
      <c r="E1" s="42" t="s">
        <v>406</v>
      </c>
    </row>
    <row r="2" spans="1:5" x14ac:dyDescent="0.2">
      <c r="A2" s="3" t="s">
        <v>341</v>
      </c>
      <c r="C2" s="43" t="s">
        <v>237</v>
      </c>
      <c r="E2" s="46" t="s">
        <v>416</v>
      </c>
    </row>
    <row r="3" spans="1:5" x14ac:dyDescent="0.2">
      <c r="A3" s="3" t="s">
        <v>384</v>
      </c>
      <c r="C3" s="43" t="s">
        <v>385</v>
      </c>
      <c r="E3" s="46" t="s">
        <v>415</v>
      </c>
    </row>
    <row r="4" spans="1:5" x14ac:dyDescent="0.2">
      <c r="A4" s="3" t="s">
        <v>383</v>
      </c>
      <c r="C4" s="43" t="s">
        <v>22</v>
      </c>
      <c r="E4" s="46" t="s">
        <v>414</v>
      </c>
    </row>
    <row r="5" spans="1:5" x14ac:dyDescent="0.2">
      <c r="A5" s="3" t="s">
        <v>387</v>
      </c>
      <c r="C5" s="43" t="s">
        <v>388</v>
      </c>
      <c r="E5" s="46" t="s">
        <v>417</v>
      </c>
    </row>
    <row r="6" spans="1:5" x14ac:dyDescent="0.2">
      <c r="A6" s="3" t="s">
        <v>340</v>
      </c>
      <c r="C6" s="43" t="s">
        <v>386</v>
      </c>
    </row>
    <row r="7" spans="1:5" x14ac:dyDescent="0.2">
      <c r="A7" s="3" t="s">
        <v>313</v>
      </c>
      <c r="C7" s="43"/>
    </row>
    <row r="8" spans="1:5" x14ac:dyDescent="0.2">
      <c r="A8" s="3" t="s">
        <v>364</v>
      </c>
      <c r="C8"/>
    </row>
    <row r="9" spans="1:5" x14ac:dyDescent="0.2">
      <c r="C9"/>
    </row>
    <row r="10" spans="1:5" x14ac:dyDescent="0.2">
      <c r="A10"/>
      <c r="C10"/>
    </row>
    <row r="11" spans="1:5" x14ac:dyDescent="0.2">
      <c r="A11"/>
      <c r="C11"/>
    </row>
    <row r="12" spans="1:5" x14ac:dyDescent="0.2">
      <c r="A12"/>
      <c r="C12"/>
    </row>
    <row r="13" spans="1:5" x14ac:dyDescent="0.2">
      <c r="A13"/>
      <c r="C13"/>
    </row>
    <row r="14" spans="1:5" x14ac:dyDescent="0.2">
      <c r="A14"/>
      <c r="C14"/>
    </row>
    <row r="15" spans="1:5" x14ac:dyDescent="0.2">
      <c r="A15"/>
      <c r="C15"/>
    </row>
    <row r="16" spans="1:5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  <row r="233" spans="1:3" x14ac:dyDescent="0.2">
      <c r="A233"/>
      <c r="C233"/>
    </row>
    <row r="234" spans="1:3" x14ac:dyDescent="0.2">
      <c r="A234"/>
      <c r="C234"/>
    </row>
    <row r="235" spans="1:3" x14ac:dyDescent="0.2">
      <c r="A235"/>
      <c r="C235"/>
    </row>
    <row r="236" spans="1:3" x14ac:dyDescent="0.2">
      <c r="A236"/>
      <c r="C236"/>
    </row>
    <row r="237" spans="1:3" x14ac:dyDescent="0.2">
      <c r="A237"/>
      <c r="C237"/>
    </row>
    <row r="238" spans="1:3" x14ac:dyDescent="0.2">
      <c r="A238"/>
      <c r="C238"/>
    </row>
    <row r="239" spans="1:3" x14ac:dyDescent="0.2">
      <c r="A239"/>
      <c r="C239"/>
    </row>
    <row r="240" spans="1:3" x14ac:dyDescent="0.2">
      <c r="A240"/>
      <c r="C240"/>
    </row>
    <row r="241" spans="1:3" x14ac:dyDescent="0.2">
      <c r="A241"/>
      <c r="C241"/>
    </row>
    <row r="242" spans="1:3" x14ac:dyDescent="0.2">
      <c r="A242"/>
      <c r="C242"/>
    </row>
    <row r="243" spans="1:3" x14ac:dyDescent="0.2">
      <c r="A243"/>
      <c r="C243"/>
    </row>
    <row r="244" spans="1:3" x14ac:dyDescent="0.2">
      <c r="A244"/>
      <c r="C244"/>
    </row>
    <row r="245" spans="1:3" x14ac:dyDescent="0.2">
      <c r="A245"/>
      <c r="C245"/>
    </row>
    <row r="246" spans="1:3" x14ac:dyDescent="0.2">
      <c r="A246"/>
      <c r="C246"/>
    </row>
    <row r="247" spans="1:3" x14ac:dyDescent="0.2">
      <c r="A247"/>
      <c r="C247"/>
    </row>
    <row r="248" spans="1:3" x14ac:dyDescent="0.2">
      <c r="A248"/>
      <c r="C248"/>
    </row>
    <row r="249" spans="1:3" x14ac:dyDescent="0.2">
      <c r="A249"/>
      <c r="C249"/>
    </row>
    <row r="250" spans="1:3" x14ac:dyDescent="0.2">
      <c r="A250"/>
      <c r="C250"/>
    </row>
    <row r="251" spans="1:3" x14ac:dyDescent="0.2">
      <c r="A251"/>
      <c r="C251"/>
    </row>
    <row r="252" spans="1:3" x14ac:dyDescent="0.2">
      <c r="A252"/>
      <c r="C252"/>
    </row>
    <row r="253" spans="1:3" x14ac:dyDescent="0.2">
      <c r="A253"/>
      <c r="C253"/>
    </row>
    <row r="254" spans="1:3" x14ac:dyDescent="0.2">
      <c r="A254"/>
      <c r="C254"/>
    </row>
    <row r="255" spans="1:3" x14ac:dyDescent="0.2">
      <c r="A255"/>
      <c r="C255"/>
    </row>
    <row r="256" spans="1:3" x14ac:dyDescent="0.2">
      <c r="A256"/>
      <c r="C256"/>
    </row>
    <row r="257" spans="1:3" x14ac:dyDescent="0.2">
      <c r="A257"/>
      <c r="C257"/>
    </row>
    <row r="258" spans="1:3" x14ac:dyDescent="0.2">
      <c r="A258"/>
      <c r="C258"/>
    </row>
    <row r="259" spans="1:3" x14ac:dyDescent="0.2">
      <c r="A259"/>
      <c r="C259"/>
    </row>
    <row r="260" spans="1:3" x14ac:dyDescent="0.2">
      <c r="A260"/>
      <c r="C260"/>
    </row>
    <row r="261" spans="1:3" x14ac:dyDescent="0.2">
      <c r="A261"/>
      <c r="C261"/>
    </row>
    <row r="262" spans="1:3" x14ac:dyDescent="0.2">
      <c r="A262"/>
      <c r="C262"/>
    </row>
    <row r="263" spans="1:3" x14ac:dyDescent="0.2">
      <c r="A263"/>
      <c r="C263"/>
    </row>
    <row r="264" spans="1:3" x14ac:dyDescent="0.2">
      <c r="A264"/>
      <c r="C264"/>
    </row>
    <row r="265" spans="1:3" x14ac:dyDescent="0.2">
      <c r="A265"/>
      <c r="C265"/>
    </row>
    <row r="266" spans="1:3" x14ac:dyDescent="0.2">
      <c r="A266"/>
      <c r="C266"/>
    </row>
    <row r="267" spans="1:3" x14ac:dyDescent="0.2">
      <c r="A267"/>
      <c r="C267"/>
    </row>
    <row r="268" spans="1:3" x14ac:dyDescent="0.2">
      <c r="A268"/>
      <c r="C268"/>
    </row>
    <row r="269" spans="1:3" x14ac:dyDescent="0.2">
      <c r="A269"/>
      <c r="C269"/>
    </row>
    <row r="270" spans="1:3" x14ac:dyDescent="0.2">
      <c r="A270"/>
      <c r="C270"/>
    </row>
    <row r="271" spans="1:3" x14ac:dyDescent="0.2">
      <c r="A271"/>
      <c r="C271"/>
    </row>
    <row r="272" spans="1:3" x14ac:dyDescent="0.2">
      <c r="A272"/>
      <c r="C272"/>
    </row>
    <row r="273" spans="1:3" x14ac:dyDescent="0.2">
      <c r="A273"/>
      <c r="C273"/>
    </row>
    <row r="274" spans="1:3" x14ac:dyDescent="0.2">
      <c r="A274"/>
      <c r="C274"/>
    </row>
    <row r="275" spans="1:3" x14ac:dyDescent="0.2">
      <c r="A275"/>
      <c r="C275"/>
    </row>
    <row r="276" spans="1:3" x14ac:dyDescent="0.2">
      <c r="A276"/>
      <c r="C276"/>
    </row>
    <row r="277" spans="1:3" x14ac:dyDescent="0.2">
      <c r="A277"/>
      <c r="C277"/>
    </row>
    <row r="278" spans="1:3" x14ac:dyDescent="0.2">
      <c r="A278"/>
      <c r="C278"/>
    </row>
    <row r="279" spans="1:3" x14ac:dyDescent="0.2">
      <c r="A279"/>
      <c r="C279"/>
    </row>
    <row r="280" spans="1:3" x14ac:dyDescent="0.2">
      <c r="A280"/>
      <c r="C280"/>
    </row>
    <row r="281" spans="1:3" x14ac:dyDescent="0.2">
      <c r="A281"/>
      <c r="C281"/>
    </row>
    <row r="282" spans="1:3" x14ac:dyDescent="0.2">
      <c r="A282"/>
      <c r="C282"/>
    </row>
    <row r="283" spans="1:3" x14ac:dyDescent="0.2">
      <c r="A283"/>
      <c r="C283"/>
    </row>
    <row r="284" spans="1:3" x14ac:dyDescent="0.2">
      <c r="A284"/>
      <c r="C284"/>
    </row>
    <row r="285" spans="1:3" x14ac:dyDescent="0.2">
      <c r="A285"/>
      <c r="C285"/>
    </row>
    <row r="286" spans="1:3" x14ac:dyDescent="0.2">
      <c r="A286"/>
      <c r="C286"/>
    </row>
    <row r="287" spans="1:3" x14ac:dyDescent="0.2">
      <c r="A287"/>
      <c r="C287"/>
    </row>
    <row r="288" spans="1:3" x14ac:dyDescent="0.2">
      <c r="A288"/>
      <c r="C288"/>
    </row>
    <row r="289" spans="1:3" x14ac:dyDescent="0.2">
      <c r="A289"/>
      <c r="C289"/>
    </row>
    <row r="290" spans="1:3" x14ac:dyDescent="0.2">
      <c r="A290"/>
      <c r="C290"/>
    </row>
    <row r="291" spans="1:3" x14ac:dyDescent="0.2">
      <c r="A291"/>
      <c r="C291"/>
    </row>
    <row r="292" spans="1:3" x14ac:dyDescent="0.2">
      <c r="A292"/>
      <c r="C292"/>
    </row>
    <row r="293" spans="1:3" x14ac:dyDescent="0.2">
      <c r="A293"/>
      <c r="C293"/>
    </row>
    <row r="294" spans="1:3" x14ac:dyDescent="0.2">
      <c r="A294"/>
      <c r="C294"/>
    </row>
    <row r="295" spans="1:3" x14ac:dyDescent="0.2">
      <c r="A295"/>
      <c r="C295"/>
    </row>
    <row r="296" spans="1:3" x14ac:dyDescent="0.2">
      <c r="A296"/>
      <c r="C296"/>
    </row>
    <row r="297" spans="1:3" x14ac:dyDescent="0.2">
      <c r="A297"/>
      <c r="C297"/>
    </row>
    <row r="298" spans="1:3" x14ac:dyDescent="0.2">
      <c r="A298"/>
      <c r="C298"/>
    </row>
    <row r="299" spans="1:3" x14ac:dyDescent="0.2">
      <c r="A299"/>
      <c r="C299"/>
    </row>
    <row r="300" spans="1:3" x14ac:dyDescent="0.2">
      <c r="A300"/>
      <c r="C300"/>
    </row>
    <row r="301" spans="1:3" x14ac:dyDescent="0.2">
      <c r="A301"/>
      <c r="C301"/>
    </row>
    <row r="302" spans="1:3" x14ac:dyDescent="0.2">
      <c r="A302"/>
      <c r="C302"/>
    </row>
    <row r="303" spans="1:3" x14ac:dyDescent="0.2">
      <c r="A303"/>
      <c r="C303"/>
    </row>
    <row r="304" spans="1:3" x14ac:dyDescent="0.2">
      <c r="A304"/>
      <c r="C304"/>
    </row>
    <row r="305" spans="1:3" x14ac:dyDescent="0.2">
      <c r="A305"/>
      <c r="C305"/>
    </row>
    <row r="306" spans="1:3" x14ac:dyDescent="0.2">
      <c r="A306"/>
      <c r="C306"/>
    </row>
    <row r="307" spans="1:3" x14ac:dyDescent="0.2">
      <c r="A307"/>
      <c r="C307"/>
    </row>
    <row r="308" spans="1:3" x14ac:dyDescent="0.2">
      <c r="A308"/>
      <c r="C308"/>
    </row>
    <row r="309" spans="1:3" x14ac:dyDescent="0.2">
      <c r="A309"/>
      <c r="C309"/>
    </row>
    <row r="310" spans="1:3" x14ac:dyDescent="0.2">
      <c r="A310"/>
      <c r="C310"/>
    </row>
    <row r="311" spans="1:3" x14ac:dyDescent="0.2">
      <c r="A311"/>
      <c r="C311"/>
    </row>
    <row r="312" spans="1:3" x14ac:dyDescent="0.2">
      <c r="A312"/>
      <c r="C312"/>
    </row>
    <row r="313" spans="1:3" x14ac:dyDescent="0.2">
      <c r="A313"/>
      <c r="C313"/>
    </row>
    <row r="314" spans="1:3" x14ac:dyDescent="0.2">
      <c r="A314"/>
      <c r="C314"/>
    </row>
    <row r="315" spans="1:3" x14ac:dyDescent="0.2">
      <c r="A315"/>
      <c r="C315"/>
    </row>
    <row r="316" spans="1:3" x14ac:dyDescent="0.2">
      <c r="A316"/>
      <c r="C316"/>
    </row>
    <row r="317" spans="1:3" x14ac:dyDescent="0.2">
      <c r="A317"/>
      <c r="C317"/>
    </row>
    <row r="318" spans="1:3" x14ac:dyDescent="0.2">
      <c r="A318"/>
      <c r="C318"/>
    </row>
    <row r="319" spans="1:3" x14ac:dyDescent="0.2">
      <c r="A319"/>
      <c r="C319"/>
    </row>
    <row r="320" spans="1:3" x14ac:dyDescent="0.2">
      <c r="A320"/>
      <c r="C320"/>
    </row>
    <row r="321" spans="1:3" x14ac:dyDescent="0.2">
      <c r="A321"/>
      <c r="C321"/>
    </row>
    <row r="322" spans="1:3" x14ac:dyDescent="0.2">
      <c r="A322"/>
      <c r="C322"/>
    </row>
    <row r="323" spans="1:3" x14ac:dyDescent="0.2">
      <c r="A323"/>
      <c r="C323"/>
    </row>
    <row r="324" spans="1:3" x14ac:dyDescent="0.2">
      <c r="A324"/>
      <c r="C324"/>
    </row>
    <row r="325" spans="1:3" x14ac:dyDescent="0.2">
      <c r="A325"/>
      <c r="C325"/>
    </row>
    <row r="326" spans="1:3" x14ac:dyDescent="0.2">
      <c r="A326"/>
      <c r="C326"/>
    </row>
    <row r="327" spans="1:3" x14ac:dyDescent="0.2">
      <c r="A327"/>
      <c r="C327"/>
    </row>
    <row r="328" spans="1:3" x14ac:dyDescent="0.2">
      <c r="A328"/>
      <c r="C328"/>
    </row>
    <row r="329" spans="1:3" x14ac:dyDescent="0.2">
      <c r="A329"/>
      <c r="C329"/>
    </row>
    <row r="330" spans="1:3" x14ac:dyDescent="0.2">
      <c r="A330"/>
      <c r="C330"/>
    </row>
    <row r="331" spans="1:3" x14ac:dyDescent="0.2">
      <c r="A331"/>
      <c r="C331"/>
    </row>
    <row r="332" spans="1:3" x14ac:dyDescent="0.2">
      <c r="A332"/>
      <c r="C332"/>
    </row>
    <row r="333" spans="1:3" x14ac:dyDescent="0.2">
      <c r="A333"/>
      <c r="C333"/>
    </row>
    <row r="334" spans="1:3" x14ac:dyDescent="0.2">
      <c r="A334"/>
      <c r="C334"/>
    </row>
    <row r="335" spans="1:3" x14ac:dyDescent="0.2">
      <c r="A335"/>
      <c r="C335"/>
    </row>
    <row r="336" spans="1:3" x14ac:dyDescent="0.2">
      <c r="A336"/>
      <c r="C336"/>
    </row>
    <row r="337" spans="1:3" x14ac:dyDescent="0.2">
      <c r="A337"/>
      <c r="C337"/>
    </row>
    <row r="338" spans="1:3" x14ac:dyDescent="0.2">
      <c r="A338"/>
      <c r="C338"/>
    </row>
    <row r="339" spans="1:3" x14ac:dyDescent="0.2">
      <c r="A339"/>
      <c r="C339"/>
    </row>
    <row r="340" spans="1:3" x14ac:dyDescent="0.2">
      <c r="A340"/>
      <c r="C340"/>
    </row>
    <row r="341" spans="1:3" x14ac:dyDescent="0.2">
      <c r="A341"/>
      <c r="C341"/>
    </row>
    <row r="342" spans="1:3" x14ac:dyDescent="0.2">
      <c r="A342"/>
      <c r="C342"/>
    </row>
    <row r="343" spans="1:3" x14ac:dyDescent="0.2">
      <c r="A343"/>
      <c r="C343"/>
    </row>
    <row r="344" spans="1:3" x14ac:dyDescent="0.2">
      <c r="A344"/>
      <c r="C344"/>
    </row>
    <row r="345" spans="1:3" x14ac:dyDescent="0.2">
      <c r="A345"/>
      <c r="C345"/>
    </row>
    <row r="346" spans="1:3" x14ac:dyDescent="0.2">
      <c r="A346"/>
      <c r="C346"/>
    </row>
    <row r="347" spans="1:3" x14ac:dyDescent="0.2">
      <c r="A347"/>
      <c r="C347"/>
    </row>
    <row r="348" spans="1:3" x14ac:dyDescent="0.2">
      <c r="A348"/>
      <c r="C348"/>
    </row>
    <row r="349" spans="1:3" x14ac:dyDescent="0.2">
      <c r="A349"/>
      <c r="C349"/>
    </row>
    <row r="350" spans="1:3" x14ac:dyDescent="0.2">
      <c r="A350"/>
      <c r="C350"/>
    </row>
    <row r="351" spans="1:3" x14ac:dyDescent="0.2">
      <c r="A351"/>
      <c r="C351"/>
    </row>
    <row r="352" spans="1:3" x14ac:dyDescent="0.2">
      <c r="A352"/>
      <c r="C352"/>
    </row>
    <row r="353" spans="1:3" x14ac:dyDescent="0.2">
      <c r="A353"/>
      <c r="C353"/>
    </row>
    <row r="354" spans="1:3" x14ac:dyDescent="0.2">
      <c r="A354"/>
      <c r="C354"/>
    </row>
    <row r="355" spans="1:3" x14ac:dyDescent="0.2">
      <c r="A355"/>
      <c r="C355"/>
    </row>
    <row r="356" spans="1:3" x14ac:dyDescent="0.2">
      <c r="A356"/>
      <c r="C356"/>
    </row>
    <row r="357" spans="1:3" x14ac:dyDescent="0.2">
      <c r="A357"/>
      <c r="C357"/>
    </row>
    <row r="358" spans="1:3" x14ac:dyDescent="0.2">
      <c r="A358"/>
      <c r="C358"/>
    </row>
    <row r="359" spans="1:3" x14ac:dyDescent="0.2">
      <c r="A359"/>
      <c r="C359"/>
    </row>
    <row r="360" spans="1:3" x14ac:dyDescent="0.2">
      <c r="A360"/>
      <c r="C360"/>
    </row>
    <row r="361" spans="1:3" x14ac:dyDescent="0.2">
      <c r="A361"/>
      <c r="C361"/>
    </row>
    <row r="362" spans="1:3" x14ac:dyDescent="0.2">
      <c r="A362"/>
      <c r="C362"/>
    </row>
    <row r="363" spans="1:3" x14ac:dyDescent="0.2">
      <c r="A363"/>
      <c r="C363"/>
    </row>
    <row r="364" spans="1:3" x14ac:dyDescent="0.2">
      <c r="A364"/>
      <c r="C364"/>
    </row>
    <row r="365" spans="1:3" x14ac:dyDescent="0.2">
      <c r="A365"/>
      <c r="C365"/>
    </row>
    <row r="366" spans="1:3" x14ac:dyDescent="0.2">
      <c r="A366"/>
      <c r="C366"/>
    </row>
    <row r="367" spans="1:3" x14ac:dyDescent="0.2">
      <c r="A367"/>
      <c r="C367"/>
    </row>
    <row r="368" spans="1:3" x14ac:dyDescent="0.2">
      <c r="A368"/>
      <c r="C368"/>
    </row>
    <row r="369" spans="1:3" x14ac:dyDescent="0.2">
      <c r="A369"/>
      <c r="C369"/>
    </row>
    <row r="370" spans="1:3" x14ac:dyDescent="0.2">
      <c r="A370"/>
      <c r="C370"/>
    </row>
    <row r="371" spans="1:3" x14ac:dyDescent="0.2">
      <c r="A371"/>
      <c r="C371"/>
    </row>
    <row r="372" spans="1:3" x14ac:dyDescent="0.2">
      <c r="A372"/>
      <c r="C372"/>
    </row>
    <row r="373" spans="1:3" x14ac:dyDescent="0.2">
      <c r="A373"/>
      <c r="C373"/>
    </row>
    <row r="374" spans="1:3" x14ac:dyDescent="0.2">
      <c r="A374"/>
      <c r="C374"/>
    </row>
    <row r="375" spans="1:3" x14ac:dyDescent="0.2">
      <c r="A375"/>
      <c r="C375"/>
    </row>
    <row r="376" spans="1:3" x14ac:dyDescent="0.2">
      <c r="A376"/>
      <c r="C376"/>
    </row>
    <row r="377" spans="1:3" x14ac:dyDescent="0.2">
      <c r="A377"/>
      <c r="C377"/>
    </row>
    <row r="378" spans="1:3" x14ac:dyDescent="0.2">
      <c r="A378"/>
      <c r="C378"/>
    </row>
    <row r="379" spans="1:3" x14ac:dyDescent="0.2">
      <c r="A379"/>
      <c r="C379"/>
    </row>
    <row r="380" spans="1:3" x14ac:dyDescent="0.2">
      <c r="A380"/>
      <c r="C380"/>
    </row>
    <row r="381" spans="1:3" x14ac:dyDescent="0.2">
      <c r="A381"/>
      <c r="C381"/>
    </row>
  </sheetData>
  <sortState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marketing_perf</vt:lpstr>
      <vt:lpstr>signups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2017-11-19T00:01:13Z</dcterms:modified>
</cp:coreProperties>
</file>