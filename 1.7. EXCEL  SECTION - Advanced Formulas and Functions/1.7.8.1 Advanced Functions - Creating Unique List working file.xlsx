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810"/>
  <workbookPr/>
  <mc:AlternateContent xmlns:mc="http://schemas.openxmlformats.org/markup-compatibility/2006">
    <mc:Choice Requires="x15">
      <x15ac:absPath xmlns:x15ac="http://schemas.microsoft.com/office/spreadsheetml/2010/11/ac" url="/Users/travis/Dropbox/Data Handling in Excel/07 Create Unique Lists/"/>
    </mc:Choice>
  </mc:AlternateContent>
  <bookViews>
    <workbookView xWindow="11040" yWindow="6400" windowWidth="25600" windowHeight="14400"/>
  </bookViews>
  <sheets>
    <sheet name="dashboard" sheetId="9" r:id="rId1"/>
    <sheet name="marketing_perf" sheetId="6" r:id="rId2"/>
    <sheet name="signups" sheetId="8" r:id="rId3"/>
    <sheet name="misc" sheetId="10" r:id="rId4"/>
  </sheets>
  <definedNames>
    <definedName name="_xlnm._FilterDatabase" localSheetId="1" hidden="1">marketing_perf!#REF!</definedName>
    <definedName name="CAMPAIGN">marketing_perf!$B$2:$B$381</definedName>
    <definedName name="CATEGORY">marketing_perf!$C$2:$C$381</definedName>
    <definedName name="MARKETING_HEADERS">marketing_perf!$A$1:$H$1</definedName>
    <definedName name="MARKETING_PERF">marketing_perf!$A$1:$H$381</definedName>
    <definedName name="UNIQUE_KEYPHRASES">marketing_perf!$A$1:$A$381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6" i="9" l="1"/>
  <c r="L6" i="9"/>
  <c r="K6" i="9"/>
  <c r="J6" i="9"/>
  <c r="L3" i="9"/>
  <c r="F6" i="9"/>
  <c r="E6" i="9"/>
  <c r="D6" i="9"/>
  <c r="C6" i="9"/>
  <c r="E3" i="9"/>
  <c r="K3" i="6"/>
  <c r="L3" i="6"/>
  <c r="K4" i="6"/>
  <c r="L4" i="6"/>
  <c r="K5" i="6"/>
  <c r="L5" i="6"/>
  <c r="K6" i="6"/>
  <c r="L6" i="6"/>
  <c r="K7" i="6"/>
  <c r="L7" i="6"/>
  <c r="K8" i="6"/>
  <c r="L8" i="6"/>
  <c r="K9" i="6"/>
  <c r="L9" i="6"/>
  <c r="K10" i="6"/>
  <c r="L10" i="6"/>
  <c r="K11" i="6"/>
  <c r="L11" i="6"/>
  <c r="K12" i="6"/>
  <c r="L12" i="6"/>
  <c r="K13" i="6"/>
  <c r="L13" i="6"/>
  <c r="K14" i="6"/>
  <c r="L14" i="6"/>
  <c r="K15" i="6"/>
  <c r="L15" i="6"/>
  <c r="K16" i="6"/>
  <c r="L16" i="6"/>
  <c r="K17" i="6"/>
  <c r="L17" i="6"/>
  <c r="K18" i="6"/>
  <c r="L18" i="6"/>
  <c r="K19" i="6"/>
  <c r="L19" i="6"/>
  <c r="K20" i="6"/>
  <c r="L20" i="6"/>
  <c r="K21" i="6"/>
  <c r="L21" i="6"/>
  <c r="K22" i="6"/>
  <c r="L22" i="6"/>
  <c r="K23" i="6"/>
  <c r="L23" i="6"/>
  <c r="K24" i="6"/>
  <c r="L24" i="6"/>
  <c r="K25" i="6"/>
  <c r="L25" i="6"/>
  <c r="K26" i="6"/>
  <c r="L26" i="6"/>
  <c r="K27" i="6"/>
  <c r="L27" i="6"/>
  <c r="K28" i="6"/>
  <c r="L28" i="6"/>
  <c r="K29" i="6"/>
  <c r="L29" i="6"/>
  <c r="K30" i="6"/>
  <c r="L30" i="6"/>
  <c r="K31" i="6"/>
  <c r="L31" i="6"/>
  <c r="K32" i="6"/>
  <c r="L32" i="6"/>
  <c r="K33" i="6"/>
  <c r="L33" i="6"/>
  <c r="K34" i="6"/>
  <c r="L34" i="6"/>
  <c r="K35" i="6"/>
  <c r="L35" i="6"/>
  <c r="K36" i="6"/>
  <c r="L36" i="6"/>
  <c r="K37" i="6"/>
  <c r="L37" i="6"/>
  <c r="K38" i="6"/>
  <c r="L38" i="6"/>
  <c r="K39" i="6"/>
  <c r="L39" i="6"/>
  <c r="K40" i="6"/>
  <c r="L40" i="6"/>
  <c r="K41" i="6"/>
  <c r="L41" i="6"/>
  <c r="K42" i="6"/>
  <c r="L42" i="6"/>
  <c r="K43" i="6"/>
  <c r="L43" i="6"/>
  <c r="K44" i="6"/>
  <c r="L44" i="6"/>
  <c r="K45" i="6"/>
  <c r="L45" i="6"/>
  <c r="K46" i="6"/>
  <c r="L46" i="6"/>
  <c r="K47" i="6"/>
  <c r="L47" i="6"/>
  <c r="K48" i="6"/>
  <c r="L48" i="6"/>
  <c r="K49" i="6"/>
  <c r="L49" i="6"/>
  <c r="K50" i="6"/>
  <c r="L50" i="6"/>
  <c r="K51" i="6"/>
  <c r="L51" i="6"/>
  <c r="K52" i="6"/>
  <c r="L52" i="6"/>
  <c r="K53" i="6"/>
  <c r="L53" i="6"/>
  <c r="K54" i="6"/>
  <c r="L54" i="6"/>
  <c r="K55" i="6"/>
  <c r="L55" i="6"/>
  <c r="K56" i="6"/>
  <c r="L56" i="6"/>
  <c r="K57" i="6"/>
  <c r="L57" i="6"/>
  <c r="K58" i="6"/>
  <c r="L58" i="6"/>
  <c r="K59" i="6"/>
  <c r="L59" i="6"/>
  <c r="K60" i="6"/>
  <c r="L60" i="6"/>
  <c r="K61" i="6"/>
  <c r="L61" i="6"/>
  <c r="K62" i="6"/>
  <c r="L62" i="6"/>
  <c r="K63" i="6"/>
  <c r="L63" i="6"/>
  <c r="K64" i="6"/>
  <c r="L64" i="6"/>
  <c r="K65" i="6"/>
  <c r="L65" i="6"/>
  <c r="K66" i="6"/>
  <c r="L66" i="6"/>
  <c r="K67" i="6"/>
  <c r="L67" i="6"/>
  <c r="K68" i="6"/>
  <c r="L68" i="6"/>
  <c r="K69" i="6"/>
  <c r="L69" i="6"/>
  <c r="K70" i="6"/>
  <c r="L70" i="6"/>
  <c r="K71" i="6"/>
  <c r="L71" i="6"/>
  <c r="K72" i="6"/>
  <c r="L72" i="6"/>
  <c r="K73" i="6"/>
  <c r="L73" i="6"/>
  <c r="K74" i="6"/>
  <c r="L74" i="6"/>
  <c r="K75" i="6"/>
  <c r="L75" i="6"/>
  <c r="K76" i="6"/>
  <c r="L76" i="6"/>
  <c r="K77" i="6"/>
  <c r="L77" i="6"/>
  <c r="K78" i="6"/>
  <c r="L78" i="6"/>
  <c r="K79" i="6"/>
  <c r="L79" i="6"/>
  <c r="K80" i="6"/>
  <c r="L80" i="6"/>
  <c r="K81" i="6"/>
  <c r="L81" i="6"/>
  <c r="K82" i="6"/>
  <c r="L82" i="6"/>
  <c r="K83" i="6"/>
  <c r="L83" i="6"/>
  <c r="K84" i="6"/>
  <c r="L84" i="6"/>
  <c r="K85" i="6"/>
  <c r="L85" i="6"/>
  <c r="K86" i="6"/>
  <c r="L86" i="6"/>
  <c r="K87" i="6"/>
  <c r="L87" i="6"/>
  <c r="K88" i="6"/>
  <c r="L88" i="6"/>
  <c r="K89" i="6"/>
  <c r="L89" i="6"/>
  <c r="K90" i="6"/>
  <c r="L90" i="6"/>
  <c r="K91" i="6"/>
  <c r="L91" i="6"/>
  <c r="K92" i="6"/>
  <c r="L92" i="6"/>
  <c r="K93" i="6"/>
  <c r="L93" i="6"/>
  <c r="K94" i="6"/>
  <c r="L94" i="6"/>
  <c r="K95" i="6"/>
  <c r="L95" i="6"/>
  <c r="K96" i="6"/>
  <c r="L96" i="6"/>
  <c r="K97" i="6"/>
  <c r="L97" i="6"/>
  <c r="K98" i="6"/>
  <c r="L98" i="6"/>
  <c r="K99" i="6"/>
  <c r="L99" i="6"/>
  <c r="K100" i="6"/>
  <c r="L100" i="6"/>
  <c r="K101" i="6"/>
  <c r="L101" i="6"/>
  <c r="K102" i="6"/>
  <c r="L102" i="6"/>
  <c r="K103" i="6"/>
  <c r="L103" i="6"/>
  <c r="K104" i="6"/>
  <c r="L104" i="6"/>
  <c r="K105" i="6"/>
  <c r="L105" i="6"/>
  <c r="K106" i="6"/>
  <c r="L106" i="6"/>
  <c r="K107" i="6"/>
  <c r="L107" i="6"/>
  <c r="K108" i="6"/>
  <c r="L108" i="6"/>
  <c r="K109" i="6"/>
  <c r="L109" i="6"/>
  <c r="K110" i="6"/>
  <c r="L110" i="6"/>
  <c r="K111" i="6"/>
  <c r="L111" i="6"/>
  <c r="K112" i="6"/>
  <c r="L112" i="6"/>
  <c r="K113" i="6"/>
  <c r="L113" i="6"/>
  <c r="K114" i="6"/>
  <c r="L114" i="6"/>
  <c r="K115" i="6"/>
  <c r="L115" i="6"/>
  <c r="K116" i="6"/>
  <c r="L116" i="6"/>
  <c r="K117" i="6"/>
  <c r="L117" i="6"/>
  <c r="K118" i="6"/>
  <c r="L118" i="6"/>
  <c r="K119" i="6"/>
  <c r="L119" i="6"/>
  <c r="K120" i="6"/>
  <c r="L120" i="6"/>
  <c r="K121" i="6"/>
  <c r="L121" i="6"/>
  <c r="K122" i="6"/>
  <c r="L122" i="6"/>
  <c r="K123" i="6"/>
  <c r="L123" i="6"/>
  <c r="K124" i="6"/>
  <c r="L124" i="6"/>
  <c r="K125" i="6"/>
  <c r="L125" i="6"/>
  <c r="K126" i="6"/>
  <c r="L126" i="6"/>
  <c r="K127" i="6"/>
  <c r="L127" i="6"/>
  <c r="K128" i="6"/>
  <c r="L128" i="6"/>
  <c r="K129" i="6"/>
  <c r="L129" i="6"/>
  <c r="K130" i="6"/>
  <c r="L130" i="6"/>
  <c r="K131" i="6"/>
  <c r="L131" i="6"/>
  <c r="K132" i="6"/>
  <c r="L132" i="6"/>
  <c r="K133" i="6"/>
  <c r="L133" i="6"/>
  <c r="K134" i="6"/>
  <c r="L134" i="6"/>
  <c r="K135" i="6"/>
  <c r="L135" i="6"/>
  <c r="K136" i="6"/>
  <c r="L136" i="6"/>
  <c r="K137" i="6"/>
  <c r="L137" i="6"/>
  <c r="K138" i="6"/>
  <c r="L138" i="6"/>
  <c r="K139" i="6"/>
  <c r="L139" i="6"/>
  <c r="K140" i="6"/>
  <c r="L140" i="6"/>
  <c r="K141" i="6"/>
  <c r="L141" i="6"/>
  <c r="K142" i="6"/>
  <c r="L142" i="6"/>
  <c r="K143" i="6"/>
  <c r="L143" i="6"/>
  <c r="K144" i="6"/>
  <c r="L144" i="6"/>
  <c r="K145" i="6"/>
  <c r="L145" i="6"/>
  <c r="K146" i="6"/>
  <c r="L146" i="6"/>
  <c r="K147" i="6"/>
  <c r="L147" i="6"/>
  <c r="K148" i="6"/>
  <c r="L148" i="6"/>
  <c r="K149" i="6"/>
  <c r="L149" i="6"/>
  <c r="K150" i="6"/>
  <c r="L150" i="6"/>
  <c r="K151" i="6"/>
  <c r="L151" i="6"/>
  <c r="K152" i="6"/>
  <c r="L152" i="6"/>
  <c r="K153" i="6"/>
  <c r="L153" i="6"/>
  <c r="K154" i="6"/>
  <c r="L154" i="6"/>
  <c r="K155" i="6"/>
  <c r="L155" i="6"/>
  <c r="K156" i="6"/>
  <c r="L156" i="6"/>
  <c r="K157" i="6"/>
  <c r="L157" i="6"/>
  <c r="K158" i="6"/>
  <c r="L158" i="6"/>
  <c r="K159" i="6"/>
  <c r="L159" i="6"/>
  <c r="K160" i="6"/>
  <c r="L160" i="6"/>
  <c r="K161" i="6"/>
  <c r="L161" i="6"/>
  <c r="K162" i="6"/>
  <c r="L162" i="6"/>
  <c r="K163" i="6"/>
  <c r="L163" i="6"/>
  <c r="K164" i="6"/>
  <c r="L164" i="6"/>
  <c r="K165" i="6"/>
  <c r="L165" i="6"/>
  <c r="K166" i="6"/>
  <c r="L166" i="6"/>
  <c r="K167" i="6"/>
  <c r="L167" i="6"/>
  <c r="K168" i="6"/>
  <c r="L168" i="6"/>
  <c r="K169" i="6"/>
  <c r="L169" i="6"/>
  <c r="K170" i="6"/>
  <c r="L170" i="6"/>
  <c r="K171" i="6"/>
  <c r="L171" i="6"/>
  <c r="K172" i="6"/>
  <c r="L172" i="6"/>
  <c r="K173" i="6"/>
  <c r="L173" i="6"/>
  <c r="K174" i="6"/>
  <c r="L174" i="6"/>
  <c r="K175" i="6"/>
  <c r="L175" i="6"/>
  <c r="K176" i="6"/>
  <c r="L176" i="6"/>
  <c r="K177" i="6"/>
  <c r="L177" i="6"/>
  <c r="K178" i="6"/>
  <c r="L178" i="6"/>
  <c r="K179" i="6"/>
  <c r="L179" i="6"/>
  <c r="K180" i="6"/>
  <c r="L180" i="6"/>
  <c r="K181" i="6"/>
  <c r="L181" i="6"/>
  <c r="K182" i="6"/>
  <c r="L182" i="6"/>
  <c r="K183" i="6"/>
  <c r="L183" i="6"/>
  <c r="K184" i="6"/>
  <c r="L184" i="6"/>
  <c r="K185" i="6"/>
  <c r="L185" i="6"/>
  <c r="K186" i="6"/>
  <c r="L186" i="6"/>
  <c r="K187" i="6"/>
  <c r="L187" i="6"/>
  <c r="K188" i="6"/>
  <c r="L188" i="6"/>
  <c r="K189" i="6"/>
  <c r="L189" i="6"/>
  <c r="K190" i="6"/>
  <c r="L190" i="6"/>
  <c r="K191" i="6"/>
  <c r="L191" i="6"/>
  <c r="K192" i="6"/>
  <c r="L192" i="6"/>
  <c r="K193" i="6"/>
  <c r="L193" i="6"/>
  <c r="K194" i="6"/>
  <c r="L194" i="6"/>
  <c r="K195" i="6"/>
  <c r="L195" i="6"/>
  <c r="K196" i="6"/>
  <c r="L196" i="6"/>
  <c r="K197" i="6"/>
  <c r="L197" i="6"/>
  <c r="K198" i="6"/>
  <c r="L198" i="6"/>
  <c r="K199" i="6"/>
  <c r="L199" i="6"/>
  <c r="K200" i="6"/>
  <c r="L200" i="6"/>
  <c r="K201" i="6"/>
  <c r="L201" i="6"/>
  <c r="K202" i="6"/>
  <c r="L202" i="6"/>
  <c r="K203" i="6"/>
  <c r="L203" i="6"/>
  <c r="K204" i="6"/>
  <c r="L204" i="6"/>
  <c r="K205" i="6"/>
  <c r="L205" i="6"/>
  <c r="K206" i="6"/>
  <c r="L206" i="6"/>
  <c r="K207" i="6"/>
  <c r="L207" i="6"/>
  <c r="K208" i="6"/>
  <c r="L208" i="6"/>
  <c r="K209" i="6"/>
  <c r="L209" i="6"/>
  <c r="K210" i="6"/>
  <c r="L210" i="6"/>
  <c r="K211" i="6"/>
  <c r="L211" i="6"/>
  <c r="K212" i="6"/>
  <c r="L212" i="6"/>
  <c r="K213" i="6"/>
  <c r="L213" i="6"/>
  <c r="K214" i="6"/>
  <c r="L214" i="6"/>
  <c r="K215" i="6"/>
  <c r="L215" i="6"/>
  <c r="K216" i="6"/>
  <c r="L216" i="6"/>
  <c r="K217" i="6"/>
  <c r="L217" i="6"/>
  <c r="K218" i="6"/>
  <c r="L218" i="6"/>
  <c r="K219" i="6"/>
  <c r="L219" i="6"/>
  <c r="K220" i="6"/>
  <c r="L220" i="6"/>
  <c r="K221" i="6"/>
  <c r="L221" i="6"/>
  <c r="K222" i="6"/>
  <c r="L222" i="6"/>
  <c r="K223" i="6"/>
  <c r="L223" i="6"/>
  <c r="K224" i="6"/>
  <c r="L224" i="6"/>
  <c r="K225" i="6"/>
  <c r="L225" i="6"/>
  <c r="K226" i="6"/>
  <c r="L226" i="6"/>
  <c r="K227" i="6"/>
  <c r="L227" i="6"/>
  <c r="K228" i="6"/>
  <c r="L228" i="6"/>
  <c r="K229" i="6"/>
  <c r="L229" i="6"/>
  <c r="K230" i="6"/>
  <c r="L230" i="6"/>
  <c r="K231" i="6"/>
  <c r="L231" i="6"/>
  <c r="K232" i="6"/>
  <c r="L232" i="6"/>
  <c r="K233" i="6"/>
  <c r="L233" i="6"/>
  <c r="K234" i="6"/>
  <c r="L234" i="6"/>
  <c r="K235" i="6"/>
  <c r="L235" i="6"/>
  <c r="K236" i="6"/>
  <c r="L236" i="6"/>
  <c r="K237" i="6"/>
  <c r="L237" i="6"/>
  <c r="K238" i="6"/>
  <c r="L238" i="6"/>
  <c r="K239" i="6"/>
  <c r="L239" i="6"/>
  <c r="K240" i="6"/>
  <c r="L240" i="6"/>
  <c r="K241" i="6"/>
  <c r="L241" i="6"/>
  <c r="K242" i="6"/>
  <c r="L242" i="6"/>
  <c r="K243" i="6"/>
  <c r="L243" i="6"/>
  <c r="K244" i="6"/>
  <c r="L244" i="6"/>
  <c r="K245" i="6"/>
  <c r="L245" i="6"/>
  <c r="K246" i="6"/>
  <c r="L246" i="6"/>
  <c r="K247" i="6"/>
  <c r="L247" i="6"/>
  <c r="K248" i="6"/>
  <c r="L248" i="6"/>
  <c r="K249" i="6"/>
  <c r="L249" i="6"/>
  <c r="K250" i="6"/>
  <c r="L250" i="6"/>
  <c r="K251" i="6"/>
  <c r="L251" i="6"/>
  <c r="K252" i="6"/>
  <c r="L252" i="6"/>
  <c r="K253" i="6"/>
  <c r="L253" i="6"/>
  <c r="K254" i="6"/>
  <c r="L254" i="6"/>
  <c r="K255" i="6"/>
  <c r="L255" i="6"/>
  <c r="K256" i="6"/>
  <c r="L256" i="6"/>
  <c r="K257" i="6"/>
  <c r="L257" i="6"/>
  <c r="K258" i="6"/>
  <c r="L258" i="6"/>
  <c r="K259" i="6"/>
  <c r="L259" i="6"/>
  <c r="K260" i="6"/>
  <c r="L260" i="6"/>
  <c r="K261" i="6"/>
  <c r="L261" i="6"/>
  <c r="K262" i="6"/>
  <c r="L262" i="6"/>
  <c r="K263" i="6"/>
  <c r="L263" i="6"/>
  <c r="K264" i="6"/>
  <c r="L264" i="6"/>
  <c r="K265" i="6"/>
  <c r="L265" i="6"/>
  <c r="K266" i="6"/>
  <c r="L266" i="6"/>
  <c r="K267" i="6"/>
  <c r="L267" i="6"/>
  <c r="K268" i="6"/>
  <c r="L268" i="6"/>
  <c r="K269" i="6"/>
  <c r="L269" i="6"/>
  <c r="K270" i="6"/>
  <c r="L270" i="6"/>
  <c r="K271" i="6"/>
  <c r="L271" i="6"/>
  <c r="K272" i="6"/>
  <c r="L272" i="6"/>
  <c r="K273" i="6"/>
  <c r="L273" i="6"/>
  <c r="K274" i="6"/>
  <c r="L274" i="6"/>
  <c r="K275" i="6"/>
  <c r="L275" i="6"/>
  <c r="K276" i="6"/>
  <c r="L276" i="6"/>
  <c r="K277" i="6"/>
  <c r="L277" i="6"/>
  <c r="K278" i="6"/>
  <c r="L278" i="6"/>
  <c r="K279" i="6"/>
  <c r="L279" i="6"/>
  <c r="K280" i="6"/>
  <c r="L280" i="6"/>
  <c r="K281" i="6"/>
  <c r="L281" i="6"/>
  <c r="K282" i="6"/>
  <c r="L282" i="6"/>
  <c r="K283" i="6"/>
  <c r="L283" i="6"/>
  <c r="K284" i="6"/>
  <c r="L284" i="6"/>
  <c r="K285" i="6"/>
  <c r="L285" i="6"/>
  <c r="K286" i="6"/>
  <c r="L286" i="6"/>
  <c r="K287" i="6"/>
  <c r="L287" i="6"/>
  <c r="K288" i="6"/>
  <c r="L288" i="6"/>
  <c r="K289" i="6"/>
  <c r="L289" i="6"/>
  <c r="K290" i="6"/>
  <c r="L290" i="6"/>
  <c r="K291" i="6"/>
  <c r="L291" i="6"/>
  <c r="K292" i="6"/>
  <c r="L292" i="6"/>
  <c r="K293" i="6"/>
  <c r="L293" i="6"/>
  <c r="K294" i="6"/>
  <c r="L294" i="6"/>
  <c r="K295" i="6"/>
  <c r="L295" i="6"/>
  <c r="K296" i="6"/>
  <c r="L296" i="6"/>
  <c r="K297" i="6"/>
  <c r="L297" i="6"/>
  <c r="K298" i="6"/>
  <c r="L298" i="6"/>
  <c r="K299" i="6"/>
  <c r="L299" i="6"/>
  <c r="K300" i="6"/>
  <c r="L300" i="6"/>
  <c r="K301" i="6"/>
  <c r="L301" i="6"/>
  <c r="K302" i="6"/>
  <c r="L302" i="6"/>
  <c r="K303" i="6"/>
  <c r="L303" i="6"/>
  <c r="K304" i="6"/>
  <c r="L304" i="6"/>
  <c r="K305" i="6"/>
  <c r="L305" i="6"/>
  <c r="K306" i="6"/>
  <c r="L306" i="6"/>
  <c r="K307" i="6"/>
  <c r="L307" i="6"/>
  <c r="K308" i="6"/>
  <c r="L308" i="6"/>
  <c r="K309" i="6"/>
  <c r="L309" i="6"/>
  <c r="K310" i="6"/>
  <c r="L310" i="6"/>
  <c r="K311" i="6"/>
  <c r="L311" i="6"/>
  <c r="K312" i="6"/>
  <c r="L312" i="6"/>
  <c r="K313" i="6"/>
  <c r="L313" i="6"/>
  <c r="K314" i="6"/>
  <c r="L314" i="6"/>
  <c r="K315" i="6"/>
  <c r="L315" i="6"/>
  <c r="K316" i="6"/>
  <c r="L316" i="6"/>
  <c r="K317" i="6"/>
  <c r="L317" i="6"/>
  <c r="K318" i="6"/>
  <c r="L318" i="6"/>
  <c r="K319" i="6"/>
  <c r="L319" i="6"/>
  <c r="K320" i="6"/>
  <c r="L320" i="6"/>
  <c r="K321" i="6"/>
  <c r="L321" i="6"/>
  <c r="K322" i="6"/>
  <c r="L322" i="6"/>
  <c r="K323" i="6"/>
  <c r="L323" i="6"/>
  <c r="K324" i="6"/>
  <c r="L324" i="6"/>
  <c r="K325" i="6"/>
  <c r="L325" i="6"/>
  <c r="K326" i="6"/>
  <c r="L326" i="6"/>
  <c r="K327" i="6"/>
  <c r="L327" i="6"/>
  <c r="K328" i="6"/>
  <c r="L328" i="6"/>
  <c r="K329" i="6"/>
  <c r="L329" i="6"/>
  <c r="K330" i="6"/>
  <c r="L330" i="6"/>
  <c r="K331" i="6"/>
  <c r="L331" i="6"/>
  <c r="K332" i="6"/>
  <c r="L332" i="6"/>
  <c r="K333" i="6"/>
  <c r="L333" i="6"/>
  <c r="K334" i="6"/>
  <c r="L334" i="6"/>
  <c r="K335" i="6"/>
  <c r="L335" i="6"/>
  <c r="K336" i="6"/>
  <c r="L336" i="6"/>
  <c r="K337" i="6"/>
  <c r="L337" i="6"/>
  <c r="K338" i="6"/>
  <c r="L338" i="6"/>
  <c r="K339" i="6"/>
  <c r="L339" i="6"/>
  <c r="K340" i="6"/>
  <c r="L340" i="6"/>
  <c r="K341" i="6"/>
  <c r="L341" i="6"/>
  <c r="K342" i="6"/>
  <c r="L342" i="6"/>
  <c r="K343" i="6"/>
  <c r="L343" i="6"/>
  <c r="K344" i="6"/>
  <c r="L344" i="6"/>
  <c r="K345" i="6"/>
  <c r="L345" i="6"/>
  <c r="K346" i="6"/>
  <c r="L346" i="6"/>
  <c r="K347" i="6"/>
  <c r="L347" i="6"/>
  <c r="K348" i="6"/>
  <c r="L348" i="6"/>
  <c r="K349" i="6"/>
  <c r="L349" i="6"/>
  <c r="K350" i="6"/>
  <c r="L350" i="6"/>
  <c r="K351" i="6"/>
  <c r="L351" i="6"/>
  <c r="K352" i="6"/>
  <c r="L352" i="6"/>
  <c r="K353" i="6"/>
  <c r="L353" i="6"/>
  <c r="K354" i="6"/>
  <c r="L354" i="6"/>
  <c r="K355" i="6"/>
  <c r="L355" i="6"/>
  <c r="K356" i="6"/>
  <c r="L356" i="6"/>
  <c r="K357" i="6"/>
  <c r="L357" i="6"/>
  <c r="K358" i="6"/>
  <c r="L358" i="6"/>
  <c r="K359" i="6"/>
  <c r="L359" i="6"/>
  <c r="K360" i="6"/>
  <c r="L360" i="6"/>
  <c r="K361" i="6"/>
  <c r="L361" i="6"/>
  <c r="K362" i="6"/>
  <c r="L362" i="6"/>
  <c r="K363" i="6"/>
  <c r="L363" i="6"/>
  <c r="K364" i="6"/>
  <c r="L364" i="6"/>
  <c r="K365" i="6"/>
  <c r="L365" i="6"/>
  <c r="K366" i="6"/>
  <c r="L366" i="6"/>
  <c r="K367" i="6"/>
  <c r="L367" i="6"/>
  <c r="K368" i="6"/>
  <c r="L368" i="6"/>
  <c r="K369" i="6"/>
  <c r="L369" i="6"/>
  <c r="K370" i="6"/>
  <c r="L370" i="6"/>
  <c r="K371" i="6"/>
  <c r="L371" i="6"/>
  <c r="K372" i="6"/>
  <c r="L372" i="6"/>
  <c r="K373" i="6"/>
  <c r="L373" i="6"/>
  <c r="K374" i="6"/>
  <c r="L374" i="6"/>
  <c r="K375" i="6"/>
  <c r="L375" i="6"/>
  <c r="K376" i="6"/>
  <c r="L376" i="6"/>
  <c r="K377" i="6"/>
  <c r="L377" i="6"/>
  <c r="K378" i="6"/>
  <c r="L378" i="6"/>
  <c r="K379" i="6"/>
  <c r="L379" i="6"/>
  <c r="K380" i="6"/>
  <c r="L380" i="6"/>
  <c r="K381" i="6"/>
  <c r="L381" i="6"/>
  <c r="K2" i="6"/>
  <c r="L2" i="6"/>
  <c r="I3" i="6"/>
  <c r="J3" i="6"/>
  <c r="I4" i="6"/>
  <c r="J4" i="6"/>
  <c r="I5" i="6"/>
  <c r="J5" i="6"/>
  <c r="I6" i="6"/>
  <c r="J6" i="6"/>
  <c r="I7" i="6"/>
  <c r="J7" i="6"/>
  <c r="I8" i="6"/>
  <c r="J8" i="6"/>
  <c r="I9" i="6"/>
  <c r="J9" i="6"/>
  <c r="I10" i="6"/>
  <c r="J10" i="6"/>
  <c r="I11" i="6"/>
  <c r="J11" i="6"/>
  <c r="I12" i="6"/>
  <c r="J12" i="6"/>
  <c r="I13" i="6"/>
  <c r="J13" i="6"/>
  <c r="I14" i="6"/>
  <c r="J14" i="6"/>
  <c r="I15" i="6"/>
  <c r="J15" i="6"/>
  <c r="I16" i="6"/>
  <c r="J16" i="6"/>
  <c r="I17" i="6"/>
  <c r="J17" i="6"/>
  <c r="I18" i="6"/>
  <c r="J18" i="6"/>
  <c r="I19" i="6"/>
  <c r="J19" i="6"/>
  <c r="I20" i="6"/>
  <c r="J20" i="6"/>
  <c r="I21" i="6"/>
  <c r="J21" i="6"/>
  <c r="I22" i="6"/>
  <c r="J22" i="6"/>
  <c r="I23" i="6"/>
  <c r="J23" i="6"/>
  <c r="I24" i="6"/>
  <c r="J24" i="6"/>
  <c r="I25" i="6"/>
  <c r="J25" i="6"/>
  <c r="I26" i="6"/>
  <c r="J26" i="6"/>
  <c r="I27" i="6"/>
  <c r="J27" i="6"/>
  <c r="I28" i="6"/>
  <c r="J28" i="6"/>
  <c r="I29" i="6"/>
  <c r="J29" i="6"/>
  <c r="I30" i="6"/>
  <c r="J30" i="6"/>
  <c r="I31" i="6"/>
  <c r="J31" i="6"/>
  <c r="I32" i="6"/>
  <c r="J32" i="6"/>
  <c r="I33" i="6"/>
  <c r="J33" i="6"/>
  <c r="I34" i="6"/>
  <c r="J34" i="6"/>
  <c r="I35" i="6"/>
  <c r="J35" i="6"/>
  <c r="I36" i="6"/>
  <c r="J36" i="6"/>
  <c r="I37" i="6"/>
  <c r="J37" i="6"/>
  <c r="I38" i="6"/>
  <c r="J38" i="6"/>
  <c r="I39" i="6"/>
  <c r="J39" i="6"/>
  <c r="I40" i="6"/>
  <c r="J40" i="6"/>
  <c r="I41" i="6"/>
  <c r="J41" i="6"/>
  <c r="I42" i="6"/>
  <c r="J42" i="6"/>
  <c r="I43" i="6"/>
  <c r="J43" i="6"/>
  <c r="I44" i="6"/>
  <c r="J44" i="6"/>
  <c r="I45" i="6"/>
  <c r="J45" i="6"/>
  <c r="I46" i="6"/>
  <c r="J46" i="6"/>
  <c r="I47" i="6"/>
  <c r="J47" i="6"/>
  <c r="I48" i="6"/>
  <c r="J48" i="6"/>
  <c r="I49" i="6"/>
  <c r="J49" i="6"/>
  <c r="I50" i="6"/>
  <c r="J50" i="6"/>
  <c r="I51" i="6"/>
  <c r="J51" i="6"/>
  <c r="I52" i="6"/>
  <c r="J52" i="6"/>
  <c r="I53" i="6"/>
  <c r="J53" i="6"/>
  <c r="I54" i="6"/>
  <c r="J54" i="6"/>
  <c r="I55" i="6"/>
  <c r="J55" i="6"/>
  <c r="I56" i="6"/>
  <c r="J56" i="6"/>
  <c r="I57" i="6"/>
  <c r="J57" i="6"/>
  <c r="I58" i="6"/>
  <c r="J58" i="6"/>
  <c r="I59" i="6"/>
  <c r="J59" i="6"/>
  <c r="I60" i="6"/>
  <c r="J60" i="6"/>
  <c r="I61" i="6"/>
  <c r="J61" i="6"/>
  <c r="I62" i="6"/>
  <c r="J62" i="6"/>
  <c r="I63" i="6"/>
  <c r="J63" i="6"/>
  <c r="I64" i="6"/>
  <c r="J64" i="6"/>
  <c r="I65" i="6"/>
  <c r="J65" i="6"/>
  <c r="I66" i="6"/>
  <c r="J66" i="6"/>
  <c r="I67" i="6"/>
  <c r="J67" i="6"/>
  <c r="I68" i="6"/>
  <c r="J68" i="6"/>
  <c r="I69" i="6"/>
  <c r="J69" i="6"/>
  <c r="I70" i="6"/>
  <c r="J70" i="6"/>
  <c r="I71" i="6"/>
  <c r="J71" i="6"/>
  <c r="I72" i="6"/>
  <c r="J72" i="6"/>
  <c r="I73" i="6"/>
  <c r="J73" i="6"/>
  <c r="I74" i="6"/>
  <c r="J74" i="6"/>
  <c r="I75" i="6"/>
  <c r="J75" i="6"/>
  <c r="I76" i="6"/>
  <c r="J76" i="6"/>
  <c r="I77" i="6"/>
  <c r="J77" i="6"/>
  <c r="I78" i="6"/>
  <c r="J78" i="6"/>
  <c r="I79" i="6"/>
  <c r="J79" i="6"/>
  <c r="I80" i="6"/>
  <c r="J80" i="6"/>
  <c r="I81" i="6"/>
  <c r="J81" i="6"/>
  <c r="I82" i="6"/>
  <c r="J82" i="6"/>
  <c r="I83" i="6"/>
  <c r="J83" i="6"/>
  <c r="I84" i="6"/>
  <c r="J84" i="6"/>
  <c r="I85" i="6"/>
  <c r="J85" i="6"/>
  <c r="I86" i="6"/>
  <c r="J86" i="6"/>
  <c r="I87" i="6"/>
  <c r="J87" i="6"/>
  <c r="I88" i="6"/>
  <c r="J88" i="6"/>
  <c r="I89" i="6"/>
  <c r="J89" i="6"/>
  <c r="I90" i="6"/>
  <c r="J90" i="6"/>
  <c r="I91" i="6"/>
  <c r="J91" i="6"/>
  <c r="I92" i="6"/>
  <c r="J92" i="6"/>
  <c r="I93" i="6"/>
  <c r="J93" i="6"/>
  <c r="I94" i="6"/>
  <c r="J94" i="6"/>
  <c r="I95" i="6"/>
  <c r="J95" i="6"/>
  <c r="I96" i="6"/>
  <c r="J96" i="6"/>
  <c r="I97" i="6"/>
  <c r="J97" i="6"/>
  <c r="I98" i="6"/>
  <c r="J98" i="6"/>
  <c r="I99" i="6"/>
  <c r="J99" i="6"/>
  <c r="I100" i="6"/>
  <c r="J100" i="6"/>
  <c r="I101" i="6"/>
  <c r="J101" i="6"/>
  <c r="I102" i="6"/>
  <c r="J102" i="6"/>
  <c r="I103" i="6"/>
  <c r="J103" i="6"/>
  <c r="I104" i="6"/>
  <c r="J104" i="6"/>
  <c r="I105" i="6"/>
  <c r="J105" i="6"/>
  <c r="I106" i="6"/>
  <c r="J106" i="6"/>
  <c r="I107" i="6"/>
  <c r="J107" i="6"/>
  <c r="I108" i="6"/>
  <c r="J108" i="6"/>
  <c r="I109" i="6"/>
  <c r="J109" i="6"/>
  <c r="I110" i="6"/>
  <c r="J110" i="6"/>
  <c r="I111" i="6"/>
  <c r="J111" i="6"/>
  <c r="I112" i="6"/>
  <c r="J112" i="6"/>
  <c r="I113" i="6"/>
  <c r="J113" i="6"/>
  <c r="I114" i="6"/>
  <c r="J114" i="6"/>
  <c r="I115" i="6"/>
  <c r="J115" i="6"/>
  <c r="I116" i="6"/>
  <c r="J116" i="6"/>
  <c r="I117" i="6"/>
  <c r="J117" i="6"/>
  <c r="I118" i="6"/>
  <c r="J118" i="6"/>
  <c r="I119" i="6"/>
  <c r="J119" i="6"/>
  <c r="I120" i="6"/>
  <c r="J120" i="6"/>
  <c r="I121" i="6"/>
  <c r="J121" i="6"/>
  <c r="I122" i="6"/>
  <c r="J122" i="6"/>
  <c r="I123" i="6"/>
  <c r="J123" i="6"/>
  <c r="I124" i="6"/>
  <c r="J124" i="6"/>
  <c r="I125" i="6"/>
  <c r="J125" i="6"/>
  <c r="I126" i="6"/>
  <c r="J126" i="6"/>
  <c r="I127" i="6"/>
  <c r="J127" i="6"/>
  <c r="I128" i="6"/>
  <c r="J128" i="6"/>
  <c r="I129" i="6"/>
  <c r="J129" i="6"/>
  <c r="I130" i="6"/>
  <c r="J130" i="6"/>
  <c r="I131" i="6"/>
  <c r="J131" i="6"/>
  <c r="I132" i="6"/>
  <c r="J132" i="6"/>
  <c r="I133" i="6"/>
  <c r="J133" i="6"/>
  <c r="I134" i="6"/>
  <c r="J134" i="6"/>
  <c r="I135" i="6"/>
  <c r="J135" i="6"/>
  <c r="I136" i="6"/>
  <c r="J136" i="6"/>
  <c r="I137" i="6"/>
  <c r="J137" i="6"/>
  <c r="I138" i="6"/>
  <c r="J138" i="6"/>
  <c r="I139" i="6"/>
  <c r="J139" i="6"/>
  <c r="I140" i="6"/>
  <c r="J140" i="6"/>
  <c r="I141" i="6"/>
  <c r="J141" i="6"/>
  <c r="I142" i="6"/>
  <c r="J142" i="6"/>
  <c r="I143" i="6"/>
  <c r="J143" i="6"/>
  <c r="I144" i="6"/>
  <c r="J144" i="6"/>
  <c r="I145" i="6"/>
  <c r="J145" i="6"/>
  <c r="I146" i="6"/>
  <c r="J146" i="6"/>
  <c r="I147" i="6"/>
  <c r="J147" i="6"/>
  <c r="I148" i="6"/>
  <c r="J148" i="6"/>
  <c r="I149" i="6"/>
  <c r="J149" i="6"/>
  <c r="I150" i="6"/>
  <c r="J150" i="6"/>
  <c r="I151" i="6"/>
  <c r="J151" i="6"/>
  <c r="I152" i="6"/>
  <c r="J152" i="6"/>
  <c r="I153" i="6"/>
  <c r="J153" i="6"/>
  <c r="I154" i="6"/>
  <c r="J154" i="6"/>
  <c r="I155" i="6"/>
  <c r="J155" i="6"/>
  <c r="I156" i="6"/>
  <c r="J156" i="6"/>
  <c r="I157" i="6"/>
  <c r="J157" i="6"/>
  <c r="I158" i="6"/>
  <c r="J158" i="6"/>
  <c r="I159" i="6"/>
  <c r="J159" i="6"/>
  <c r="I160" i="6"/>
  <c r="J160" i="6"/>
  <c r="I161" i="6"/>
  <c r="J161" i="6"/>
  <c r="I162" i="6"/>
  <c r="J162" i="6"/>
  <c r="I163" i="6"/>
  <c r="J163" i="6"/>
  <c r="I164" i="6"/>
  <c r="J164" i="6"/>
  <c r="I165" i="6"/>
  <c r="J165" i="6"/>
  <c r="I166" i="6"/>
  <c r="J166" i="6"/>
  <c r="I167" i="6"/>
  <c r="J167" i="6"/>
  <c r="I168" i="6"/>
  <c r="J168" i="6"/>
  <c r="I169" i="6"/>
  <c r="J169" i="6"/>
  <c r="I170" i="6"/>
  <c r="J170" i="6"/>
  <c r="I171" i="6"/>
  <c r="J171" i="6"/>
  <c r="I172" i="6"/>
  <c r="J172" i="6"/>
  <c r="I173" i="6"/>
  <c r="J173" i="6"/>
  <c r="I174" i="6"/>
  <c r="J174" i="6"/>
  <c r="I175" i="6"/>
  <c r="J175" i="6"/>
  <c r="I176" i="6"/>
  <c r="J176" i="6"/>
  <c r="I177" i="6"/>
  <c r="J177" i="6"/>
  <c r="I178" i="6"/>
  <c r="J178" i="6"/>
  <c r="I179" i="6"/>
  <c r="J179" i="6"/>
  <c r="I180" i="6"/>
  <c r="J180" i="6"/>
  <c r="I181" i="6"/>
  <c r="J181" i="6"/>
  <c r="I182" i="6"/>
  <c r="J182" i="6"/>
  <c r="I183" i="6"/>
  <c r="J183" i="6"/>
  <c r="I184" i="6"/>
  <c r="J184" i="6"/>
  <c r="I185" i="6"/>
  <c r="J185" i="6"/>
  <c r="I186" i="6"/>
  <c r="J186" i="6"/>
  <c r="I187" i="6"/>
  <c r="J187" i="6"/>
  <c r="I188" i="6"/>
  <c r="J188" i="6"/>
  <c r="I189" i="6"/>
  <c r="J189" i="6"/>
  <c r="I190" i="6"/>
  <c r="J190" i="6"/>
  <c r="I191" i="6"/>
  <c r="J191" i="6"/>
  <c r="I192" i="6"/>
  <c r="J192" i="6"/>
  <c r="I193" i="6"/>
  <c r="J193" i="6"/>
  <c r="I194" i="6"/>
  <c r="J194" i="6"/>
  <c r="I195" i="6"/>
  <c r="J195" i="6"/>
  <c r="I196" i="6"/>
  <c r="J196" i="6"/>
  <c r="I197" i="6"/>
  <c r="J197" i="6"/>
  <c r="I198" i="6"/>
  <c r="J198" i="6"/>
  <c r="I199" i="6"/>
  <c r="J199" i="6"/>
  <c r="I200" i="6"/>
  <c r="J200" i="6"/>
  <c r="I201" i="6"/>
  <c r="J201" i="6"/>
  <c r="I202" i="6"/>
  <c r="J202" i="6"/>
  <c r="I203" i="6"/>
  <c r="J203" i="6"/>
  <c r="I204" i="6"/>
  <c r="J204" i="6"/>
  <c r="I205" i="6"/>
  <c r="J205" i="6"/>
  <c r="I206" i="6"/>
  <c r="J206" i="6"/>
  <c r="I207" i="6"/>
  <c r="J207" i="6"/>
  <c r="I208" i="6"/>
  <c r="J208" i="6"/>
  <c r="I209" i="6"/>
  <c r="J209" i="6"/>
  <c r="I210" i="6"/>
  <c r="J210" i="6"/>
  <c r="I211" i="6"/>
  <c r="J211" i="6"/>
  <c r="I212" i="6"/>
  <c r="J212" i="6"/>
  <c r="I213" i="6"/>
  <c r="J213" i="6"/>
  <c r="I214" i="6"/>
  <c r="J214" i="6"/>
  <c r="I215" i="6"/>
  <c r="J215" i="6"/>
  <c r="I216" i="6"/>
  <c r="J216" i="6"/>
  <c r="I217" i="6"/>
  <c r="J217" i="6"/>
  <c r="I218" i="6"/>
  <c r="J218" i="6"/>
  <c r="I219" i="6"/>
  <c r="J219" i="6"/>
  <c r="I220" i="6"/>
  <c r="J220" i="6"/>
  <c r="I221" i="6"/>
  <c r="J221" i="6"/>
  <c r="I222" i="6"/>
  <c r="J222" i="6"/>
  <c r="I223" i="6"/>
  <c r="J223" i="6"/>
  <c r="I224" i="6"/>
  <c r="J224" i="6"/>
  <c r="I225" i="6"/>
  <c r="J225" i="6"/>
  <c r="I226" i="6"/>
  <c r="J226" i="6"/>
  <c r="I227" i="6"/>
  <c r="J227" i="6"/>
  <c r="I228" i="6"/>
  <c r="J228" i="6"/>
  <c r="I229" i="6"/>
  <c r="J229" i="6"/>
  <c r="I230" i="6"/>
  <c r="J230" i="6"/>
  <c r="I231" i="6"/>
  <c r="J231" i="6"/>
  <c r="I232" i="6"/>
  <c r="J232" i="6"/>
  <c r="I233" i="6"/>
  <c r="J233" i="6"/>
  <c r="I234" i="6"/>
  <c r="J234" i="6"/>
  <c r="I235" i="6"/>
  <c r="J235" i="6"/>
  <c r="I236" i="6"/>
  <c r="J236" i="6"/>
  <c r="I237" i="6"/>
  <c r="J237" i="6"/>
  <c r="I238" i="6"/>
  <c r="J238" i="6"/>
  <c r="I239" i="6"/>
  <c r="J239" i="6"/>
  <c r="I240" i="6"/>
  <c r="J240" i="6"/>
  <c r="I241" i="6"/>
  <c r="J241" i="6"/>
  <c r="I242" i="6"/>
  <c r="J242" i="6"/>
  <c r="I243" i="6"/>
  <c r="J243" i="6"/>
  <c r="I244" i="6"/>
  <c r="J244" i="6"/>
  <c r="I245" i="6"/>
  <c r="J245" i="6"/>
  <c r="I246" i="6"/>
  <c r="J246" i="6"/>
  <c r="I247" i="6"/>
  <c r="J247" i="6"/>
  <c r="I248" i="6"/>
  <c r="J248" i="6"/>
  <c r="I249" i="6"/>
  <c r="J249" i="6"/>
  <c r="I250" i="6"/>
  <c r="J250" i="6"/>
  <c r="I251" i="6"/>
  <c r="J251" i="6"/>
  <c r="I252" i="6"/>
  <c r="J252" i="6"/>
  <c r="I253" i="6"/>
  <c r="J253" i="6"/>
  <c r="I254" i="6"/>
  <c r="J254" i="6"/>
  <c r="I255" i="6"/>
  <c r="J255" i="6"/>
  <c r="I256" i="6"/>
  <c r="J256" i="6"/>
  <c r="I257" i="6"/>
  <c r="J257" i="6"/>
  <c r="I258" i="6"/>
  <c r="J258" i="6"/>
  <c r="I259" i="6"/>
  <c r="J259" i="6"/>
  <c r="I260" i="6"/>
  <c r="J260" i="6"/>
  <c r="I261" i="6"/>
  <c r="J261" i="6"/>
  <c r="I262" i="6"/>
  <c r="J262" i="6"/>
  <c r="I263" i="6"/>
  <c r="J263" i="6"/>
  <c r="I264" i="6"/>
  <c r="J264" i="6"/>
  <c r="I265" i="6"/>
  <c r="J265" i="6"/>
  <c r="I266" i="6"/>
  <c r="J266" i="6"/>
  <c r="I267" i="6"/>
  <c r="J267" i="6"/>
  <c r="I268" i="6"/>
  <c r="J268" i="6"/>
  <c r="I269" i="6"/>
  <c r="J269" i="6"/>
  <c r="I270" i="6"/>
  <c r="J270" i="6"/>
  <c r="I271" i="6"/>
  <c r="J271" i="6"/>
  <c r="I272" i="6"/>
  <c r="J272" i="6"/>
  <c r="I273" i="6"/>
  <c r="J273" i="6"/>
  <c r="I274" i="6"/>
  <c r="J274" i="6"/>
  <c r="I275" i="6"/>
  <c r="J275" i="6"/>
  <c r="I276" i="6"/>
  <c r="J276" i="6"/>
  <c r="I277" i="6"/>
  <c r="J277" i="6"/>
  <c r="I278" i="6"/>
  <c r="J278" i="6"/>
  <c r="I279" i="6"/>
  <c r="J279" i="6"/>
  <c r="I280" i="6"/>
  <c r="J280" i="6"/>
  <c r="I281" i="6"/>
  <c r="J281" i="6"/>
  <c r="I282" i="6"/>
  <c r="J282" i="6"/>
  <c r="I283" i="6"/>
  <c r="J283" i="6"/>
  <c r="I284" i="6"/>
  <c r="J284" i="6"/>
  <c r="I285" i="6"/>
  <c r="J285" i="6"/>
  <c r="I286" i="6"/>
  <c r="J286" i="6"/>
  <c r="I287" i="6"/>
  <c r="J287" i="6"/>
  <c r="I288" i="6"/>
  <c r="J288" i="6"/>
  <c r="I289" i="6"/>
  <c r="J289" i="6"/>
  <c r="I290" i="6"/>
  <c r="J290" i="6"/>
  <c r="I291" i="6"/>
  <c r="J291" i="6"/>
  <c r="I292" i="6"/>
  <c r="J292" i="6"/>
  <c r="I293" i="6"/>
  <c r="J293" i="6"/>
  <c r="I294" i="6"/>
  <c r="J294" i="6"/>
  <c r="I295" i="6"/>
  <c r="J295" i="6"/>
  <c r="I296" i="6"/>
  <c r="J296" i="6"/>
  <c r="I297" i="6"/>
  <c r="J297" i="6"/>
  <c r="I298" i="6"/>
  <c r="J298" i="6"/>
  <c r="I299" i="6"/>
  <c r="J299" i="6"/>
  <c r="I300" i="6"/>
  <c r="J300" i="6"/>
  <c r="I301" i="6"/>
  <c r="J301" i="6"/>
  <c r="I302" i="6"/>
  <c r="J302" i="6"/>
  <c r="I303" i="6"/>
  <c r="J303" i="6"/>
  <c r="I304" i="6"/>
  <c r="J304" i="6"/>
  <c r="I305" i="6"/>
  <c r="J305" i="6"/>
  <c r="I306" i="6"/>
  <c r="J306" i="6"/>
  <c r="I307" i="6"/>
  <c r="J307" i="6"/>
  <c r="I308" i="6"/>
  <c r="J308" i="6"/>
  <c r="I309" i="6"/>
  <c r="J309" i="6"/>
  <c r="I310" i="6"/>
  <c r="J310" i="6"/>
  <c r="I311" i="6"/>
  <c r="J311" i="6"/>
  <c r="I312" i="6"/>
  <c r="J312" i="6"/>
  <c r="I313" i="6"/>
  <c r="J313" i="6"/>
  <c r="I314" i="6"/>
  <c r="J314" i="6"/>
  <c r="I315" i="6"/>
  <c r="J315" i="6"/>
  <c r="I316" i="6"/>
  <c r="J316" i="6"/>
  <c r="I317" i="6"/>
  <c r="J317" i="6"/>
  <c r="I318" i="6"/>
  <c r="J318" i="6"/>
  <c r="I319" i="6"/>
  <c r="J319" i="6"/>
  <c r="I320" i="6"/>
  <c r="J320" i="6"/>
  <c r="I321" i="6"/>
  <c r="J321" i="6"/>
  <c r="I322" i="6"/>
  <c r="J322" i="6"/>
  <c r="I323" i="6"/>
  <c r="J323" i="6"/>
  <c r="I324" i="6"/>
  <c r="J324" i="6"/>
  <c r="I325" i="6"/>
  <c r="J325" i="6"/>
  <c r="I326" i="6"/>
  <c r="J326" i="6"/>
  <c r="I327" i="6"/>
  <c r="J327" i="6"/>
  <c r="I328" i="6"/>
  <c r="J328" i="6"/>
  <c r="I329" i="6"/>
  <c r="J329" i="6"/>
  <c r="I330" i="6"/>
  <c r="J330" i="6"/>
  <c r="I331" i="6"/>
  <c r="J331" i="6"/>
  <c r="I332" i="6"/>
  <c r="J332" i="6"/>
  <c r="I333" i="6"/>
  <c r="J333" i="6"/>
  <c r="I334" i="6"/>
  <c r="J334" i="6"/>
  <c r="I335" i="6"/>
  <c r="J335" i="6"/>
  <c r="I336" i="6"/>
  <c r="J336" i="6"/>
  <c r="I337" i="6"/>
  <c r="J337" i="6"/>
  <c r="I338" i="6"/>
  <c r="J338" i="6"/>
  <c r="I339" i="6"/>
  <c r="J339" i="6"/>
  <c r="I340" i="6"/>
  <c r="J340" i="6"/>
  <c r="I341" i="6"/>
  <c r="J341" i="6"/>
  <c r="I342" i="6"/>
  <c r="J342" i="6"/>
  <c r="I343" i="6"/>
  <c r="J343" i="6"/>
  <c r="I344" i="6"/>
  <c r="J344" i="6"/>
  <c r="I345" i="6"/>
  <c r="J345" i="6"/>
  <c r="I346" i="6"/>
  <c r="J346" i="6"/>
  <c r="I347" i="6"/>
  <c r="J347" i="6"/>
  <c r="I348" i="6"/>
  <c r="J348" i="6"/>
  <c r="I349" i="6"/>
  <c r="J349" i="6"/>
  <c r="I350" i="6"/>
  <c r="J350" i="6"/>
  <c r="I351" i="6"/>
  <c r="J351" i="6"/>
  <c r="I352" i="6"/>
  <c r="J352" i="6"/>
  <c r="I353" i="6"/>
  <c r="J353" i="6"/>
  <c r="I354" i="6"/>
  <c r="J354" i="6"/>
  <c r="I355" i="6"/>
  <c r="J355" i="6"/>
  <c r="I356" i="6"/>
  <c r="J356" i="6"/>
  <c r="I357" i="6"/>
  <c r="J357" i="6"/>
  <c r="I358" i="6"/>
  <c r="J358" i="6"/>
  <c r="I359" i="6"/>
  <c r="J359" i="6"/>
  <c r="I360" i="6"/>
  <c r="J360" i="6"/>
  <c r="I361" i="6"/>
  <c r="J361" i="6"/>
  <c r="I362" i="6"/>
  <c r="J362" i="6"/>
  <c r="I363" i="6"/>
  <c r="J363" i="6"/>
  <c r="I364" i="6"/>
  <c r="J364" i="6"/>
  <c r="I365" i="6"/>
  <c r="J365" i="6"/>
  <c r="I366" i="6"/>
  <c r="J366" i="6"/>
  <c r="I367" i="6"/>
  <c r="J367" i="6"/>
  <c r="I368" i="6"/>
  <c r="J368" i="6"/>
  <c r="I369" i="6"/>
  <c r="J369" i="6"/>
  <c r="I370" i="6"/>
  <c r="J370" i="6"/>
  <c r="I371" i="6"/>
  <c r="J371" i="6"/>
  <c r="I372" i="6"/>
  <c r="J372" i="6"/>
  <c r="I373" i="6"/>
  <c r="J373" i="6"/>
  <c r="I374" i="6"/>
  <c r="J374" i="6"/>
  <c r="I375" i="6"/>
  <c r="J375" i="6"/>
  <c r="I376" i="6"/>
  <c r="J376" i="6"/>
  <c r="I377" i="6"/>
  <c r="J377" i="6"/>
  <c r="I378" i="6"/>
  <c r="J378" i="6"/>
  <c r="I379" i="6"/>
  <c r="J379" i="6"/>
  <c r="I380" i="6"/>
  <c r="J380" i="6"/>
  <c r="I381" i="6"/>
  <c r="J381" i="6"/>
  <c r="I2" i="6"/>
  <c r="J2" i="6"/>
  <c r="O5" i="8"/>
  <c r="O6" i="8"/>
  <c r="O7" i="8"/>
  <c r="O8" i="8"/>
  <c r="O9" i="8"/>
  <c r="O10" i="8"/>
  <c r="O4" i="8"/>
  <c r="N5" i="8"/>
  <c r="N6" i="8"/>
  <c r="N7" i="8"/>
  <c r="N8" i="8"/>
  <c r="N9" i="8"/>
  <c r="N10" i="8"/>
  <c r="N4" i="8"/>
  <c r="M5" i="8"/>
  <c r="M6" i="8"/>
  <c r="M7" i="8"/>
  <c r="M8" i="8"/>
  <c r="M9" i="8"/>
  <c r="M10" i="8"/>
  <c r="M4" i="8"/>
</calcChain>
</file>

<file path=xl/sharedStrings.xml><?xml version="1.0" encoding="utf-8"?>
<sst xmlns="http://schemas.openxmlformats.org/spreadsheetml/2006/main" count="1196" uniqueCount="414">
  <si>
    <t>Campaign</t>
  </si>
  <si>
    <t>kids clothes</t>
  </si>
  <si>
    <t>discount designer clothing</t>
  </si>
  <si>
    <t>the haute look</t>
  </si>
  <si>
    <t>cheap designer clothes</t>
  </si>
  <si>
    <t>zulily</t>
  </si>
  <si>
    <t>haute</t>
  </si>
  <si>
    <t>designer sale</t>
  </si>
  <si>
    <t>bags sale</t>
  </si>
  <si>
    <t>gilt</t>
  </si>
  <si>
    <t>haute couture</t>
  </si>
  <si>
    <t>discount clothing</t>
  </si>
  <si>
    <t>bedding</t>
  </si>
  <si>
    <t>cheap sherri hill dresses</t>
  </si>
  <si>
    <t>clothing discount</t>
  </si>
  <si>
    <t>newborn clothing</t>
  </si>
  <si>
    <t>discount burberry</t>
  </si>
  <si>
    <t>diaper bag</t>
  </si>
  <si>
    <t>handbags sale</t>
  </si>
  <si>
    <t>ruelala</t>
  </si>
  <si>
    <t>cheap designer</t>
  </si>
  <si>
    <t>designer +handbags</t>
  </si>
  <si>
    <t>Discount</t>
  </si>
  <si>
    <t>dooney</t>
  </si>
  <si>
    <t>clothes sale</t>
  </si>
  <si>
    <t>handbags</t>
  </si>
  <si>
    <t>ebay fashion</t>
  </si>
  <si>
    <t>clothing online</t>
  </si>
  <si>
    <t>diaper bags</t>
  </si>
  <si>
    <t>one kings lane</t>
  </si>
  <si>
    <t>beyond the rack</t>
  </si>
  <si>
    <t>designer baby diaper bags</t>
  </si>
  <si>
    <t>kids clothing</t>
  </si>
  <si>
    <t>sue wong</t>
  </si>
  <si>
    <t>designer shoes</t>
  </si>
  <si>
    <t>designer handbags</t>
  </si>
  <si>
    <t>kids coats</t>
  </si>
  <si>
    <t>totes</t>
  </si>
  <si>
    <t>girls clothing</t>
  </si>
  <si>
    <t>cheap dresses</t>
  </si>
  <si>
    <t>designer discount</t>
  </si>
  <si>
    <t>louis vuitton handbags</t>
  </si>
  <si>
    <t>infant clothing</t>
  </si>
  <si>
    <t>shoes online</t>
  </si>
  <si>
    <t>children shoes</t>
  </si>
  <si>
    <t>onekingslane</t>
  </si>
  <si>
    <t>ideeli</t>
  </si>
  <si>
    <t>used handbags</t>
  </si>
  <si>
    <t>discount designer clothes</t>
  </si>
  <si>
    <t>chanel bags</t>
  </si>
  <si>
    <t>discount designer womens</t>
  </si>
  <si>
    <t>luxury duvet covers</t>
  </si>
  <si>
    <t>accessories bags</t>
  </si>
  <si>
    <t>online designer</t>
  </si>
  <si>
    <t>nordstrom rack</t>
  </si>
  <si>
    <t>purse</t>
  </si>
  <si>
    <t>designer evening dress</t>
  </si>
  <si>
    <t>men's casual apparel</t>
  </si>
  <si>
    <t>children's clothing</t>
  </si>
  <si>
    <t>children place outlet</t>
  </si>
  <si>
    <t>ladies pants</t>
  </si>
  <si>
    <t>rue la la</t>
  </si>
  <si>
    <t>gucci handbags</t>
  </si>
  <si>
    <t>luxury bedding</t>
  </si>
  <si>
    <t>fashion men clothes</t>
  </si>
  <si>
    <t>girls clothes</t>
  </si>
  <si>
    <t>children clothes</t>
  </si>
  <si>
    <t>children shoe</t>
  </si>
  <si>
    <t>christian louboutin sale</t>
  </si>
  <si>
    <t>sample sale</t>
  </si>
  <si>
    <t>cheap handbags</t>
  </si>
  <si>
    <t>designer evening gowns</t>
  </si>
  <si>
    <t>see kai run</t>
  </si>
  <si>
    <t>duvet</t>
  </si>
  <si>
    <t>baby+clothes</t>
  </si>
  <si>
    <t>baby girl clothes</t>
  </si>
  <si>
    <t>toddler shoes</t>
  </si>
  <si>
    <t>tops for women</t>
  </si>
  <si>
    <t>handbag</t>
  </si>
  <si>
    <t>jeans sale</t>
  </si>
  <si>
    <t>designer diaper bags</t>
  </si>
  <si>
    <t>designer bag</t>
  </si>
  <si>
    <t>baby apparel</t>
  </si>
  <si>
    <t>designer clothes</t>
  </si>
  <si>
    <t>baby boy clothes</t>
  </si>
  <si>
    <t>dkny outlet</t>
  </si>
  <si>
    <t>discount jeans</t>
  </si>
  <si>
    <t>ladies shoes</t>
  </si>
  <si>
    <t>buy makeup</t>
  </si>
  <si>
    <t>designer cocktail dresses</t>
  </si>
  <si>
    <t>dresses</t>
  </si>
  <si>
    <t>baby boutique baby</t>
  </si>
  <si>
    <t>men shirts</t>
  </si>
  <si>
    <t>handbags &amp; bags</t>
  </si>
  <si>
    <t>designer baby clothes</t>
  </si>
  <si>
    <t>discount shoes</t>
  </si>
  <si>
    <t>children's shoes</t>
  </si>
  <si>
    <t>kids clothing store</t>
  </si>
  <si>
    <t>coach handbags</t>
  </si>
  <si>
    <t>affordable clothing</t>
  </si>
  <si>
    <t>guess sale</t>
  </si>
  <si>
    <t>designer handbag</t>
  </si>
  <si>
    <t>cheap makeup</t>
  </si>
  <si>
    <t>inexpensive cocktail dress</t>
  </si>
  <si>
    <t>stride rite shoes</t>
  </si>
  <si>
    <t>affordable fashion</t>
  </si>
  <si>
    <t>cheap clothes</t>
  </si>
  <si>
    <t>baby dresses</t>
  </si>
  <si>
    <t>toddler clothing</t>
  </si>
  <si>
    <t>discount makeup</t>
  </si>
  <si>
    <t>duvet covers</t>
  </si>
  <si>
    <t>comforters</t>
  </si>
  <si>
    <t>designer handbags cheap</t>
  </si>
  <si>
    <t>baby clothing newborn</t>
  </si>
  <si>
    <t>baby boy clothing</t>
  </si>
  <si>
    <t>mens clothing</t>
  </si>
  <si>
    <t>wholesale clothing</t>
  </si>
  <si>
    <t>womens shoes</t>
  </si>
  <si>
    <t>cosmetics discontinued</t>
  </si>
  <si>
    <t>dress</t>
  </si>
  <si>
    <t>handbags &amp; accessories</t>
  </si>
  <si>
    <t>womens designer shoes</t>
  </si>
  <si>
    <t>baby bonnets</t>
  </si>
  <si>
    <t>ralph lauren discount clothing</t>
  </si>
  <si>
    <t>fashion clothing</t>
  </si>
  <si>
    <t>funky jewelry</t>
  </si>
  <si>
    <t>clothes online</t>
  </si>
  <si>
    <t>coach purses on sale</t>
  </si>
  <si>
    <t>diesel jean</t>
  </si>
  <si>
    <t>clothing websites</t>
  </si>
  <si>
    <t>clothing for women</t>
  </si>
  <si>
    <t>coach outlet</t>
  </si>
  <si>
    <t>baby clothes girl</t>
  </si>
  <si>
    <t>beauty and cosmetics</t>
  </si>
  <si>
    <t>wedding jewelry</t>
  </si>
  <si>
    <t>handbag sale</t>
  </si>
  <si>
    <t>vintage handbag</t>
  </si>
  <si>
    <t>men's fashion</t>
  </si>
  <si>
    <t>dillards sale</t>
  </si>
  <si>
    <t>tory burch</t>
  </si>
  <si>
    <t>shoe sale</t>
  </si>
  <si>
    <t>cocktail dresses</t>
  </si>
  <si>
    <t>inexpensive shoes</t>
  </si>
  <si>
    <t>diaper tote bags</t>
  </si>
  <si>
    <t>bag sale</t>
  </si>
  <si>
    <t>men clothing</t>
  </si>
  <si>
    <t>infant clothes</t>
  </si>
  <si>
    <t>kids boutique clothing</t>
  </si>
  <si>
    <t>discount lucky brand</t>
  </si>
  <si>
    <t>wedding jewelry sets</t>
  </si>
  <si>
    <t>women's clothing</t>
  </si>
  <si>
    <t>kids clothes shoes</t>
  </si>
  <si>
    <t>tory burch shoe</t>
  </si>
  <si>
    <t>costume jewelry</t>
  </si>
  <si>
    <t>mens jeans sale</t>
  </si>
  <si>
    <t>designer +handbag</t>
  </si>
  <si>
    <t>fashion heels</t>
  </si>
  <si>
    <t>benefit makeup</t>
  </si>
  <si>
    <t>dillards outlet</t>
  </si>
  <si>
    <t>boys coat</t>
  </si>
  <si>
    <t>designer shoes warehouse</t>
  </si>
  <si>
    <t>womens clothes</t>
  </si>
  <si>
    <t>free eyeshadow samples</t>
  </si>
  <si>
    <t>baby outlet</t>
  </si>
  <si>
    <t>baby clothing girl</t>
  </si>
  <si>
    <t>luxury comforters</t>
  </si>
  <si>
    <t>gilt groupe</t>
  </si>
  <si>
    <t>women designer handbags</t>
  </si>
  <si>
    <t>discount gucci</t>
  </si>
  <si>
    <t>cheap cosmetics</t>
  </si>
  <si>
    <t>designer purses</t>
  </si>
  <si>
    <t>baby bedding</t>
  </si>
  <si>
    <t>kids clothes girls</t>
  </si>
  <si>
    <t>evening dresses</t>
  </si>
  <si>
    <t>women's coat</t>
  </si>
  <si>
    <t>ladies tops</t>
  </si>
  <si>
    <t>wholesale purses</t>
  </si>
  <si>
    <t>jeans</t>
  </si>
  <si>
    <t>william rast jeans</t>
  </si>
  <si>
    <t>crib bedding</t>
  </si>
  <si>
    <t>baby clothing</t>
  </si>
  <si>
    <t>coach bag outlet</t>
  </si>
  <si>
    <t>discount prada</t>
  </si>
  <si>
    <t>gilt com</t>
  </si>
  <si>
    <t>necklaces fashion jewelry</t>
  </si>
  <si>
    <t>makeup palettes</t>
  </si>
  <si>
    <t>women shoes</t>
  </si>
  <si>
    <t>womens dress shoes</t>
  </si>
  <si>
    <t>womens tops</t>
  </si>
  <si>
    <t>burberry</t>
  </si>
  <si>
    <t>shoes for kids</t>
  </si>
  <si>
    <t>junior apparel</t>
  </si>
  <si>
    <t>dresses online</t>
  </si>
  <si>
    <t>kids shoes</t>
  </si>
  <si>
    <t>gucci sale</t>
  </si>
  <si>
    <t>cosmetics discount</t>
  </si>
  <si>
    <t>children's clothes</t>
  </si>
  <si>
    <t>wholesalers fashion jewelry</t>
  </si>
  <si>
    <t>designer bedding</t>
  </si>
  <si>
    <t>kids couture clothes</t>
  </si>
  <si>
    <t>designer shoe</t>
  </si>
  <si>
    <t>baby girl shoes</t>
  </si>
  <si>
    <t>baby boy shoes</t>
  </si>
  <si>
    <t>affordable clothes</t>
  </si>
  <si>
    <t>discount couture</t>
  </si>
  <si>
    <t>the children's place outlet</t>
  </si>
  <si>
    <t>women clothes</t>
  </si>
  <si>
    <t>shoes sale</t>
  </si>
  <si>
    <t>used louis vuitton handbags</t>
  </si>
  <si>
    <t>vintage handbags</t>
  </si>
  <si>
    <t>discount clothes</t>
  </si>
  <si>
    <t>fashion clothes</t>
  </si>
  <si>
    <t>fashion men's clothes</t>
  </si>
  <si>
    <t>cheap fashion jewelry</t>
  </si>
  <si>
    <t>infant shoes</t>
  </si>
  <si>
    <t>zappos shoes</t>
  </si>
  <si>
    <t>inexpensive heels</t>
  </si>
  <si>
    <t>cheap coach purses</t>
  </si>
  <si>
    <t>designer clothing</t>
  </si>
  <si>
    <t>messenger diaper bags</t>
  </si>
  <si>
    <t>designer eyeglasses cheap</t>
  </si>
  <si>
    <t>denim dresses</t>
  </si>
  <si>
    <t>fashion dresses</t>
  </si>
  <si>
    <t>wholesale hair products</t>
  </si>
  <si>
    <t>baby shoes</t>
  </si>
  <si>
    <t>womens fashion</t>
  </si>
  <si>
    <t>baby clothes boy</t>
  </si>
  <si>
    <t>cheap jeans</t>
  </si>
  <si>
    <t>boutique clothing</t>
  </si>
  <si>
    <t>discount purses</t>
  </si>
  <si>
    <t>fashion jewelry sets</t>
  </si>
  <si>
    <t>beauty makeup</t>
  </si>
  <si>
    <t>kids girl clothing</t>
  </si>
  <si>
    <t>women boot</t>
  </si>
  <si>
    <t>smocked baby clothes</t>
  </si>
  <si>
    <t>nyx cosmetics</t>
  </si>
  <si>
    <t>infant girl clothes</t>
  </si>
  <si>
    <t>Designer</t>
  </si>
  <si>
    <t>women's fashion</t>
  </si>
  <si>
    <t>cosmetics products</t>
  </si>
  <si>
    <t>tj max online shopping</t>
  </si>
  <si>
    <t>used designer handbags</t>
  </si>
  <si>
    <t>skin care beauty</t>
  </si>
  <si>
    <t>health and beauty makeup</t>
  </si>
  <si>
    <t>dillards stores</t>
  </si>
  <si>
    <t>juniors clothing</t>
  </si>
  <si>
    <t>cheap prom dresses</t>
  </si>
  <si>
    <t>mens dress clothing</t>
  </si>
  <si>
    <t>handbags handbags &amp; accessories</t>
  </si>
  <si>
    <t>womens designer hand bags</t>
  </si>
  <si>
    <t>petunia diaper bag</t>
  </si>
  <si>
    <t>wear kids clothes</t>
  </si>
  <si>
    <t>evening dresses dresses</t>
  </si>
  <si>
    <t>party dresses dresses</t>
  </si>
  <si>
    <t>juniors clothing sale</t>
  </si>
  <si>
    <t>apparel girls</t>
  </si>
  <si>
    <t>babies clothing</t>
  </si>
  <si>
    <t>baby clothing dresses</t>
  </si>
  <si>
    <t>baby girls clothes 0 5t baby</t>
  </si>
  <si>
    <t>children clothing size 16</t>
  </si>
  <si>
    <t>new born clothing</t>
  </si>
  <si>
    <t>fashion summer dresses</t>
  </si>
  <si>
    <t>discount dresses prom</t>
  </si>
  <si>
    <t>long prom dresses</t>
  </si>
  <si>
    <t>womens discount coats</t>
  </si>
  <si>
    <t>women's fashion coat</t>
  </si>
  <si>
    <t>womens fashion coats</t>
  </si>
  <si>
    <t>mens designer jeans</t>
  </si>
  <si>
    <t>fashion sandals</t>
  </si>
  <si>
    <t>womens wholesale shoes</t>
  </si>
  <si>
    <t>womens discount shoes</t>
  </si>
  <si>
    <t>boys shoes</t>
  </si>
  <si>
    <t>women sandal boots</t>
  </si>
  <si>
    <t>tadashi</t>
  </si>
  <si>
    <t>junior's jeans</t>
  </si>
  <si>
    <t>womens cheap tops</t>
  </si>
  <si>
    <t>necklace jewelry</t>
  </si>
  <si>
    <t>cheap clothes for men</t>
  </si>
  <si>
    <t>mens cheap clothing</t>
  </si>
  <si>
    <t>childrens clothing</t>
  </si>
  <si>
    <t>childrens clothes</t>
  </si>
  <si>
    <t>boys clothing</t>
  </si>
  <si>
    <t>baby clothing sale</t>
  </si>
  <si>
    <t>kid's clothing</t>
  </si>
  <si>
    <t>men clothes</t>
  </si>
  <si>
    <t>clothing sale</t>
  </si>
  <si>
    <t>junior clothing</t>
  </si>
  <si>
    <t>ladies clothing</t>
  </si>
  <si>
    <t>women clothing</t>
  </si>
  <si>
    <t>womens clothing</t>
  </si>
  <si>
    <t>girl clothing</t>
  </si>
  <si>
    <t>women jeans</t>
  </si>
  <si>
    <t>designer jewelry</t>
  </si>
  <si>
    <t>fashion jewelry</t>
  </si>
  <si>
    <t>women apparel</t>
  </si>
  <si>
    <t>fendi handbag</t>
  </si>
  <si>
    <t>marc jacobs</t>
  </si>
  <si>
    <t>dresses cheap</t>
  </si>
  <si>
    <t>men fashion</t>
  </si>
  <si>
    <t>teen fashion clothes</t>
  </si>
  <si>
    <t>juniors clothes</t>
  </si>
  <si>
    <t>fashion shoes</t>
  </si>
  <si>
    <t>women's fashion shoes</t>
  </si>
  <si>
    <t>tote bags</t>
  </si>
  <si>
    <t>brighton handbags</t>
  </si>
  <si>
    <t>buy designer handbags</t>
  </si>
  <si>
    <t>junior jeans</t>
  </si>
  <si>
    <t>jeans for juniors</t>
  </si>
  <si>
    <t>designer dresses</t>
  </si>
  <si>
    <t>cocktail dress</t>
  </si>
  <si>
    <t>cheap designer dresses</t>
  </si>
  <si>
    <t>purses</t>
  </si>
  <si>
    <t>discount designer handbags</t>
  </si>
  <si>
    <t>Women</t>
  </si>
  <si>
    <t>childrens shoes</t>
  </si>
  <si>
    <t>baby crib bedding</t>
  </si>
  <si>
    <t>nursery bedding</t>
  </si>
  <si>
    <t>girl clothes</t>
  </si>
  <si>
    <t>baby clothes</t>
  </si>
  <si>
    <t>baby fashion</t>
  </si>
  <si>
    <t>leggings</t>
  </si>
  <si>
    <t>evening designer dresses</t>
  </si>
  <si>
    <t>designer gowns</t>
  </si>
  <si>
    <t>beauty &amp; cosmetics</t>
  </si>
  <si>
    <t>women fashion coats</t>
  </si>
  <si>
    <t>fashion coats</t>
  </si>
  <si>
    <t>fashion coat</t>
  </si>
  <si>
    <t>coats sale</t>
  </si>
  <si>
    <t>kids coat</t>
  </si>
  <si>
    <t>discount coats</t>
  </si>
  <si>
    <t>junior coats</t>
  </si>
  <si>
    <t>juniors coats</t>
  </si>
  <si>
    <t>ladies coats</t>
  </si>
  <si>
    <t>men's coats</t>
  </si>
  <si>
    <t>designer tops for women</t>
  </si>
  <si>
    <t>fashion tops</t>
  </si>
  <si>
    <t>ross</t>
  </si>
  <si>
    <t>makeup cosmetics</t>
  </si>
  <si>
    <t>beauty &amp; cosmetic</t>
  </si>
  <si>
    <t>discount apparel</t>
  </si>
  <si>
    <t>Men</t>
  </si>
  <si>
    <t>Baby</t>
  </si>
  <si>
    <t>vintage costume jewelry</t>
  </si>
  <si>
    <t>ladies shoes online</t>
  </si>
  <si>
    <t>discount shoe</t>
  </si>
  <si>
    <t>womens fashion shoes</t>
  </si>
  <si>
    <t>women shoe</t>
  </si>
  <si>
    <t>shoes for women</t>
  </si>
  <si>
    <t>mens shoes</t>
  </si>
  <si>
    <t>fashion accessories</t>
  </si>
  <si>
    <t>shoes</t>
  </si>
  <si>
    <t>mens clothing cheap</t>
  </si>
  <si>
    <t>men clothes cheap</t>
  </si>
  <si>
    <t>designer clothing store</t>
  </si>
  <si>
    <t>department stores</t>
  </si>
  <si>
    <t>clearance</t>
  </si>
  <si>
    <t>kids dress clothes</t>
  </si>
  <si>
    <t>clothes</t>
  </si>
  <si>
    <t>clearance sale</t>
  </si>
  <si>
    <t>toddler dress shoes</t>
  </si>
  <si>
    <t>baby toddler shoes</t>
  </si>
  <si>
    <t>toddler girl shoes</t>
  </si>
  <si>
    <t>baby clothes and accessories</t>
  </si>
  <si>
    <t>baby furniture</t>
  </si>
  <si>
    <t>Other</t>
  </si>
  <si>
    <t>kathy van zeeland</t>
  </si>
  <si>
    <t>women's shirts</t>
  </si>
  <si>
    <t>womens boot</t>
  </si>
  <si>
    <t>women's boot</t>
  </si>
  <si>
    <t>ladies boots</t>
  </si>
  <si>
    <t>cheap sandals</t>
  </si>
  <si>
    <t>ladies sandal</t>
  </si>
  <si>
    <t>fashion boots</t>
  </si>
  <si>
    <t>armani exchange outlet</t>
  </si>
  <si>
    <t>seven jeans</t>
  </si>
  <si>
    <t>bcbg dresses on sale</t>
  </si>
  <si>
    <t>lipstick cosmetics beauty</t>
  </si>
  <si>
    <t>discount beauty supplies</t>
  </si>
  <si>
    <t>makeup bags</t>
  </si>
  <si>
    <t>wholesale mac cosmetics</t>
  </si>
  <si>
    <t>abercrombie kids outlet</t>
  </si>
  <si>
    <t>Ad Cost</t>
  </si>
  <si>
    <t>Category</t>
  </si>
  <si>
    <t>General</t>
  </si>
  <si>
    <t>Children</t>
  </si>
  <si>
    <t>Competition</t>
  </si>
  <si>
    <t>None</t>
  </si>
  <si>
    <t>Home</t>
  </si>
  <si>
    <t>Event</t>
  </si>
  <si>
    <t>Sales</t>
  </si>
  <si>
    <t>petunia diaper bags</t>
  </si>
  <si>
    <t>toddler girls shoes girls</t>
  </si>
  <si>
    <t>girls clothing sizes 4 16</t>
  </si>
  <si>
    <t>boys clothing sizes 4 18</t>
  </si>
  <si>
    <t>clothing accessories women's shoes</t>
  </si>
  <si>
    <t>toddler boys shoes boys</t>
  </si>
  <si>
    <t>Unique Key Phrases</t>
  </si>
  <si>
    <t>Month</t>
  </si>
  <si>
    <t>Conv.</t>
  </si>
  <si>
    <t>Signups</t>
  </si>
  <si>
    <t>Total</t>
  </si>
  <si>
    <t>Campaigns</t>
  </si>
  <si>
    <t>Number of User Signups</t>
  </si>
  <si>
    <t xml:space="preserve"> % Signups from Discount</t>
  </si>
  <si>
    <t>Cost / Signup</t>
  </si>
  <si>
    <t>Sales / Conv</t>
  </si>
  <si>
    <t>Signup Cost Cat</t>
  </si>
  <si>
    <t>Avg Sales Cat</t>
  </si>
  <si>
    <t>Conv</t>
  </si>
  <si>
    <t>Choose Category:</t>
  </si>
  <si>
    <t>key phrases</t>
  </si>
  <si>
    <t>Choose Campaign:</t>
  </si>
  <si>
    <t>Unique Category</t>
  </si>
  <si>
    <t>Unique Campaign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</si>
</sst>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HK$&quot;* #,##0.00_);_(&quot;HK$&quot;* \(#,##0.00\);_(&quot;HK$&quot;* &quot;-&quot;??_);_(@_)"/>
    <numFmt numFmtId="43" formatCode="_(* #,##0.00_);_(* \(#,##0.00\);_(* &quot;-&quot;??_);_(@_)"/>
    <numFmt numFmtId="164" formatCode="_([$$-409]* #,##0_);_([$$-409]* \(#,##0\);_([$$-409]* &quot;-&quot;??_);_(@_)"/>
    <numFmt numFmtId="165" formatCode="[$-409]mmm\-yy;@"/>
    <numFmt numFmtId="166" formatCode="_(* #,##0_);_(* \(#,##0\);_(* &quot;-&quot;??_);_(@_)"/>
    <numFmt numFmtId="167" formatCode="_([$$-409]* #,##0.00_);_([$$-409]* \(#,##0.00\);_([$$-409]* &quot;-&quot;??_);_(@_)"/>
  </numFmts>
  <fonts count="3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04040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20" fillId="32" borderId="0" applyNumberFormat="0" applyBorder="0" applyAlignment="0" applyProtection="0"/>
    <xf numFmtId="44" fontId="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21" fillId="33" borderId="0" xfId="0" applyFont="1" applyFill="1"/>
    <xf numFmtId="165" fontId="21" fillId="33" borderId="0" xfId="0" applyNumberFormat="1" applyFont="1" applyFill="1"/>
    <xf numFmtId="0" fontId="22" fillId="0" borderId="0" xfId="0" applyFont="1"/>
    <xf numFmtId="165" fontId="22" fillId="0" borderId="0" xfId="0" applyNumberFormat="1" applyFont="1"/>
    <xf numFmtId="3" fontId="22" fillId="0" borderId="0" xfId="0" applyNumberFormat="1" applyFont="1"/>
    <xf numFmtId="0" fontId="3" fillId="0" borderId="0" xfId="0" applyFont="1"/>
    <xf numFmtId="164" fontId="3" fillId="0" borderId="0" xfId="42" applyNumberFormat="1" applyFont="1"/>
    <xf numFmtId="164" fontId="21" fillId="33" borderId="0" xfId="42" applyNumberFormat="1" applyFont="1" applyFill="1" applyAlignment="1">
      <alignment horizontal="right"/>
    </xf>
    <xf numFmtId="164" fontId="22" fillId="0" borderId="0" xfId="42" applyNumberFormat="1" applyFont="1"/>
    <xf numFmtId="164" fontId="3" fillId="0" borderId="0" xfId="0" applyNumberFormat="1" applyFont="1"/>
    <xf numFmtId="0" fontId="2" fillId="0" borderId="0" xfId="0" applyFont="1"/>
    <xf numFmtId="0" fontId="21" fillId="36" borderId="0" xfId="0" applyFont="1" applyFill="1"/>
    <xf numFmtId="166" fontId="2" fillId="0" borderId="0" xfId="47" applyNumberFormat="1" applyFont="1"/>
    <xf numFmtId="0" fontId="21" fillId="36" borderId="0" xfId="0" applyFont="1" applyFill="1" applyAlignment="1">
      <alignment horizontal="right"/>
    </xf>
    <xf numFmtId="166" fontId="2" fillId="37" borderId="0" xfId="47" applyNumberFormat="1" applyFont="1" applyFill="1"/>
    <xf numFmtId="0" fontId="25" fillId="0" borderId="0" xfId="0" applyFont="1"/>
    <xf numFmtId="0" fontId="21" fillId="38" borderId="0" xfId="0" applyFont="1" applyFill="1" applyAlignment="1">
      <alignment horizontal="left"/>
    </xf>
    <xf numFmtId="0" fontId="21" fillId="38" borderId="0" xfId="0" applyFont="1" applyFill="1" applyAlignment="1">
      <alignment horizontal="right"/>
    </xf>
    <xf numFmtId="166" fontId="2" fillId="34" borderId="0" xfId="47" applyNumberFormat="1" applyFont="1" applyFill="1"/>
    <xf numFmtId="166" fontId="2" fillId="35" borderId="0" xfId="47" applyNumberFormat="1" applyFont="1" applyFill="1"/>
    <xf numFmtId="9" fontId="2" fillId="35" borderId="0" xfId="48" applyFont="1" applyFill="1"/>
    <xf numFmtId="167" fontId="3" fillId="34" borderId="0" xfId="42" applyNumberFormat="1" applyFont="1" applyFill="1"/>
    <xf numFmtId="44" fontId="21" fillId="39" borderId="0" xfId="0" applyNumberFormat="1" applyFont="1" applyFill="1" applyAlignment="1">
      <alignment horizontal="right"/>
    </xf>
    <xf numFmtId="164" fontId="3" fillId="35" borderId="0" xfId="0" applyNumberFormat="1" applyFont="1" applyFill="1"/>
    <xf numFmtId="44" fontId="21" fillId="39" borderId="0" xfId="0" applyNumberFormat="1" applyFont="1" applyFill="1" applyAlignment="1">
      <alignment horizontal="left"/>
    </xf>
    <xf numFmtId="164" fontId="21" fillId="39" borderId="0" xfId="0" applyNumberFormat="1" applyFont="1" applyFill="1" applyAlignment="1"/>
    <xf numFmtId="164" fontId="3" fillId="35" borderId="0" xfId="0" applyNumberFormat="1" applyFont="1" applyFill="1" applyAlignment="1"/>
    <xf numFmtId="164" fontId="3" fillId="0" borderId="0" xfId="0" applyNumberFormat="1" applyFont="1" applyAlignment="1"/>
    <xf numFmtId="164" fontId="21" fillId="39" borderId="0" xfId="0" applyNumberFormat="1" applyFont="1" applyFill="1" applyAlignment="1">
      <alignment horizontal="right"/>
    </xf>
    <xf numFmtId="0" fontId="1" fillId="0" borderId="0" xfId="0" applyFont="1"/>
    <xf numFmtId="0" fontId="1" fillId="40" borderId="0" xfId="0" applyFont="1" applyFill="1"/>
    <xf numFmtId="0" fontId="21" fillId="40" borderId="0" xfId="0" applyFont="1" applyFill="1" applyAlignment="1">
      <alignment horizontal="right"/>
    </xf>
    <xf numFmtId="0" fontId="21" fillId="40" borderId="0" xfId="0" applyFont="1" applyFill="1"/>
    <xf numFmtId="166" fontId="26" fillId="0" borderId="0" xfId="47" applyNumberFormat="1" applyFont="1" applyFill="1"/>
    <xf numFmtId="0" fontId="26" fillId="40" borderId="0" xfId="0" applyFont="1" applyFill="1"/>
    <xf numFmtId="167" fontId="26" fillId="0" borderId="0" xfId="47" applyNumberFormat="1" applyFont="1" applyFill="1"/>
    <xf numFmtId="0" fontId="21" fillId="33" borderId="0" xfId="0" applyFont="1" applyFill="1" applyAlignment="1">
      <alignment horizontal="left"/>
    </xf>
    <xf numFmtId="2" fontId="21" fillId="33" borderId="0" xfId="0" applyNumberFormat="1" applyFont="1" applyFill="1" applyAlignment="1">
      <alignment horizontal="left"/>
    </xf>
    <xf numFmtId="0" fontId="27" fillId="35" borderId="10" xfId="0" applyFont="1" applyFill="1" applyBorder="1"/>
    <xf numFmtId="0" fontId="21" fillId="39" borderId="0" xfId="0" applyFont="1" applyFill="1" applyAlignment="1">
      <alignment horizontal="left"/>
    </xf>
    <xf numFmtId="2" fontId="21" fillId="39" borderId="0" xfId="0" applyNumberFormat="1" applyFont="1" applyFill="1" applyAlignment="1">
      <alignment horizontal="left"/>
    </xf>
    <xf numFmtId="0" fontId="28" fillId="40" borderId="0" xfId="0" applyFont="1" applyFill="1"/>
    <xf numFmtId="0" fontId="27" fillId="40" borderId="0" xfId="0" applyFont="1" applyFill="1"/>
    <xf numFmtId="167" fontId="27" fillId="35" borderId="0" xfId="47" applyNumberFormat="1" applyFont="1" applyFill="1"/>
    <xf numFmtId="166" fontId="27" fillId="35" borderId="0" xfId="47" applyNumberFormat="1" applyFont="1" applyFill="1"/>
    <xf numFmtId="0" fontId="27" fillId="41" borderId="10" xfId="0" applyFont="1" applyFill="1" applyBorder="1"/>
    <xf numFmtId="0" fontId="29" fillId="42" borderId="0" xfId="0" applyFont="1" applyFill="1"/>
    <xf numFmtId="0" fontId="30" fillId="0" borderId="0" xfId="0" applyFont="1"/>
    <xf numFmtId="0" fontId="2" fillId="0" borderId="0" xfId="0" applyFont="1" applyAlignment="1">
      <alignment horizontal="center" textRotation="90"/>
    </xf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7" builtinId="3"/>
    <cellStyle name="Currency" xfId="42" builtinId="4"/>
    <cellStyle name="Explanatory Text" xfId="16" builtinId="53" customBuiltin="1"/>
    <cellStyle name="Followed Hyperlink" xfId="44" builtinId="9" hidden="1"/>
    <cellStyle name="Followed Hyperlink" xfId="4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8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FFF7D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7"/>
  <sheetViews>
    <sheetView tabSelected="1" zoomScale="130" zoomScaleNormal="130" workbookViewId="0"/>
  </sheetViews>
  <sheetFormatPr baseColWidth="10" defaultRowHeight="16" x14ac:dyDescent="0.2"/>
  <cols>
    <col min="1" max="1" width="4.33203125" style="30" customWidth="1"/>
    <col min="2" max="2" width="5.6640625" style="30" customWidth="1"/>
    <col min="3" max="3" width="15" style="30" customWidth="1"/>
    <col min="4" max="4" width="10.33203125" style="30" customWidth="1"/>
    <col min="5" max="5" width="10.1640625" style="30" customWidth="1"/>
    <col min="6" max="6" width="14.1640625" style="30" customWidth="1"/>
    <col min="7" max="7" width="5.83203125" style="30" customWidth="1"/>
    <col min="8" max="8" width="4.6640625" style="30" customWidth="1"/>
    <col min="9" max="9" width="5.6640625" style="30" customWidth="1"/>
    <col min="10" max="10" width="15" style="30" customWidth="1"/>
    <col min="11" max="11" width="10.33203125" style="30" customWidth="1"/>
    <col min="12" max="12" width="10.1640625" style="30" customWidth="1"/>
    <col min="13" max="13" width="14.1640625" style="30" customWidth="1"/>
    <col min="14" max="14" width="5.83203125" style="30" customWidth="1"/>
    <col min="15" max="16384" width="10.83203125" style="30"/>
  </cols>
  <sheetData>
    <row r="1" spans="2:14" x14ac:dyDescent="0.2">
      <c r="B1" s="31"/>
      <c r="C1" s="31"/>
      <c r="D1" s="31"/>
      <c r="E1" s="31"/>
      <c r="F1" s="31"/>
      <c r="G1" s="31"/>
      <c r="I1" s="31"/>
      <c r="J1" s="31"/>
      <c r="K1" s="31"/>
      <c r="L1" s="31"/>
      <c r="M1" s="31"/>
      <c r="N1" s="31"/>
    </row>
    <row r="2" spans="2:14" x14ac:dyDescent="0.2">
      <c r="B2" s="33"/>
      <c r="C2" s="42" t="s">
        <v>409</v>
      </c>
      <c r="D2" s="31"/>
      <c r="E2" s="31"/>
      <c r="F2" s="31"/>
      <c r="G2" s="31"/>
      <c r="I2" s="33"/>
      <c r="J2" s="42" t="s">
        <v>411</v>
      </c>
      <c r="K2" s="31"/>
      <c r="L2" s="31"/>
      <c r="M2" s="31"/>
      <c r="N2" s="31"/>
    </row>
    <row r="3" spans="2:14" x14ac:dyDescent="0.2">
      <c r="B3" s="32"/>
      <c r="C3" s="46" t="s">
        <v>313</v>
      </c>
      <c r="D3" s="31"/>
      <c r="E3" s="34">
        <f>COUNTIF(CATEGORY,dashboard!$C$3)</f>
        <v>186</v>
      </c>
      <c r="F3" s="35" t="s">
        <v>410</v>
      </c>
      <c r="G3" s="31"/>
      <c r="I3" s="32"/>
      <c r="J3" s="39" t="s">
        <v>237</v>
      </c>
      <c r="K3" s="31"/>
      <c r="L3" s="45">
        <f>COUNTIF(CAMPAIGN,dashboard!$J$3)</f>
        <v>89</v>
      </c>
      <c r="M3" s="43" t="s">
        <v>410</v>
      </c>
      <c r="N3" s="31"/>
    </row>
    <row r="4" spans="2:14" x14ac:dyDescent="0.2">
      <c r="B4" s="31"/>
      <c r="C4" s="31"/>
      <c r="D4" s="31"/>
      <c r="E4" s="31"/>
      <c r="F4" s="31"/>
      <c r="G4" s="31"/>
      <c r="I4" s="31"/>
      <c r="J4" s="31"/>
      <c r="K4" s="31"/>
      <c r="L4" s="31"/>
      <c r="M4" s="31"/>
      <c r="N4" s="31"/>
    </row>
    <row r="5" spans="2:14" x14ac:dyDescent="0.2">
      <c r="B5" s="31"/>
      <c r="C5" s="37" t="s">
        <v>381</v>
      </c>
      <c r="D5" s="38" t="s">
        <v>399</v>
      </c>
      <c r="E5" s="38" t="s">
        <v>408</v>
      </c>
      <c r="F5" s="38" t="s">
        <v>389</v>
      </c>
      <c r="G5" s="31"/>
      <c r="I5" s="31"/>
      <c r="J5" s="40" t="s">
        <v>381</v>
      </c>
      <c r="K5" s="41" t="s">
        <v>399</v>
      </c>
      <c r="L5" s="41" t="s">
        <v>408</v>
      </c>
      <c r="M5" s="41" t="s">
        <v>389</v>
      </c>
      <c r="N5" s="31"/>
    </row>
    <row r="6" spans="2:14" x14ac:dyDescent="0.2">
      <c r="B6" s="31"/>
      <c r="C6" s="36">
        <f>SUMIF(CATEGORY,dashboard!$C$3,marketing_perf!H2:H381)</f>
        <v>9601.3100000000013</v>
      </c>
      <c r="D6" s="34">
        <f>SUMIF(CATEGORY,dashboard!$C$3,marketing_perf!E2:E381)</f>
        <v>11481</v>
      </c>
      <c r="E6" s="34">
        <f>SUMIF(CATEGORY,dashboard!$C$3,marketing_perf!F2:F381)</f>
        <v>266</v>
      </c>
      <c r="F6" s="36">
        <f>SUMIF(CATEGORY,dashboard!$C$3,marketing_perf!G2:G381)</f>
        <v>21289.690000000006</v>
      </c>
      <c r="G6" s="31"/>
      <c r="I6" s="31"/>
      <c r="J6" s="44">
        <f>SUMIF(CAMPAIGN,dashboard!J$3,marketing_perf!H2:H381)</f>
        <v>10614.049999999994</v>
      </c>
      <c r="K6" s="45">
        <f>SUMIF(CAMPAIGN,dashboard!J$3,marketing_perf!E2:E381)</f>
        <v>8705</v>
      </c>
      <c r="L6" s="45">
        <f>SUMIF(CAMPAIGN,dashboard!J$3,marketing_perf!F2:F381)</f>
        <v>224</v>
      </c>
      <c r="M6" s="44">
        <f>SUMIF(CAMPAIGN,dashboard!J$3,marketing_perf!G2:G381)</f>
        <v>17506.200000000004</v>
      </c>
      <c r="N6" s="31"/>
    </row>
    <row r="7" spans="2:14" x14ac:dyDescent="0.2">
      <c r="B7" s="31"/>
      <c r="C7" s="31"/>
      <c r="D7" s="31"/>
      <c r="E7" s="31"/>
      <c r="F7" s="31"/>
      <c r="G7" s="31"/>
      <c r="I7" s="31"/>
      <c r="J7" s="31"/>
      <c r="K7" s="31"/>
      <c r="L7" s="31"/>
      <c r="M7" s="31"/>
      <c r="N7" s="31"/>
    </row>
    <row r="8" spans="2:14" x14ac:dyDescent="0.2">
      <c r="B8" s="31"/>
      <c r="C8" s="31"/>
      <c r="D8" s="31"/>
      <c r="E8" s="31"/>
      <c r="F8" s="31"/>
      <c r="G8" s="31"/>
      <c r="I8" s="31"/>
      <c r="J8" s="31"/>
      <c r="K8" s="31"/>
      <c r="L8" s="31"/>
      <c r="M8" s="31"/>
      <c r="N8" s="31"/>
    </row>
    <row r="9" spans="2:14" x14ac:dyDescent="0.2">
      <c r="B9" s="31"/>
      <c r="C9" s="31"/>
      <c r="D9" s="31"/>
      <c r="E9" s="31"/>
      <c r="F9" s="31"/>
      <c r="G9" s="31"/>
      <c r="I9" s="31"/>
      <c r="J9" s="31"/>
      <c r="K9" s="31"/>
      <c r="L9" s="31"/>
      <c r="M9" s="31"/>
      <c r="N9" s="31"/>
    </row>
    <row r="10" spans="2:14" x14ac:dyDescent="0.2">
      <c r="B10" s="31"/>
      <c r="C10" s="31"/>
      <c r="D10" s="31"/>
      <c r="E10" s="31"/>
      <c r="F10" s="31"/>
      <c r="G10" s="31"/>
      <c r="I10" s="31"/>
      <c r="J10" s="31"/>
      <c r="K10" s="31"/>
      <c r="L10" s="31"/>
      <c r="M10" s="31"/>
      <c r="N10" s="31"/>
    </row>
    <row r="11" spans="2:14" x14ac:dyDescent="0.2">
      <c r="B11" s="31"/>
      <c r="C11" s="31"/>
      <c r="D11" s="31"/>
      <c r="E11" s="31"/>
      <c r="F11" s="31"/>
      <c r="G11" s="31"/>
      <c r="I11" s="31"/>
      <c r="J11" s="31"/>
      <c r="K11" s="31"/>
      <c r="L11" s="31"/>
      <c r="M11" s="31"/>
      <c r="N11" s="31"/>
    </row>
    <row r="12" spans="2:14" x14ac:dyDescent="0.2">
      <c r="B12" s="31"/>
      <c r="C12" s="31"/>
      <c r="D12" s="31"/>
      <c r="E12" s="31"/>
      <c r="F12" s="31"/>
      <c r="G12" s="31"/>
      <c r="I12" s="31"/>
      <c r="J12" s="31"/>
      <c r="K12" s="31"/>
      <c r="L12" s="31"/>
      <c r="M12" s="31"/>
      <c r="N12" s="31"/>
    </row>
    <row r="13" spans="2:14" x14ac:dyDescent="0.2">
      <c r="B13" s="31"/>
      <c r="C13" s="31"/>
      <c r="D13" s="31"/>
      <c r="E13" s="31"/>
      <c r="F13" s="31"/>
      <c r="G13" s="31"/>
      <c r="I13" s="31"/>
      <c r="J13" s="31"/>
      <c r="K13" s="31"/>
      <c r="L13" s="31"/>
      <c r="M13" s="31"/>
      <c r="N13" s="31"/>
    </row>
    <row r="14" spans="2:14" x14ac:dyDescent="0.2">
      <c r="B14" s="31"/>
      <c r="C14" s="31"/>
      <c r="D14" s="31"/>
      <c r="E14" s="31"/>
      <c r="F14" s="31"/>
      <c r="G14" s="31"/>
      <c r="I14" s="31"/>
      <c r="J14" s="31"/>
      <c r="K14" s="31"/>
      <c r="L14" s="31"/>
      <c r="M14" s="31"/>
      <c r="N14" s="31"/>
    </row>
    <row r="15" spans="2:14" x14ac:dyDescent="0.2">
      <c r="B15" s="31"/>
      <c r="C15" s="31"/>
      <c r="D15" s="31"/>
      <c r="E15" s="31"/>
      <c r="F15" s="31"/>
      <c r="G15" s="31"/>
      <c r="I15" s="31"/>
      <c r="J15" s="31"/>
      <c r="K15" s="31"/>
      <c r="L15" s="31"/>
      <c r="M15" s="31"/>
      <c r="N15" s="31"/>
    </row>
    <row r="16" spans="2:14" x14ac:dyDescent="0.2">
      <c r="B16" s="31"/>
      <c r="C16" s="31"/>
      <c r="D16" s="31"/>
      <c r="E16" s="31"/>
      <c r="F16" s="31"/>
      <c r="G16" s="31"/>
      <c r="I16" s="31"/>
      <c r="J16" s="31"/>
      <c r="K16" s="31"/>
      <c r="L16" s="31"/>
      <c r="M16" s="31"/>
      <c r="N16" s="31"/>
    </row>
    <row r="17" spans="2:14" x14ac:dyDescent="0.2">
      <c r="B17" s="31"/>
      <c r="C17" s="31"/>
      <c r="D17" s="31"/>
      <c r="E17" s="31"/>
      <c r="F17" s="31"/>
      <c r="G17" s="31"/>
      <c r="I17" s="31"/>
      <c r="J17" s="31"/>
      <c r="K17" s="31"/>
      <c r="L17" s="31"/>
      <c r="M17" s="31"/>
      <c r="N17" s="31"/>
    </row>
    <row r="18" spans="2:14" x14ac:dyDescent="0.2">
      <c r="B18" s="31"/>
      <c r="C18" s="31"/>
      <c r="D18" s="31"/>
      <c r="E18" s="31"/>
      <c r="F18" s="31"/>
      <c r="G18" s="31"/>
      <c r="I18" s="31"/>
      <c r="J18" s="31"/>
      <c r="K18" s="31"/>
      <c r="L18" s="31"/>
      <c r="M18" s="31"/>
      <c r="N18" s="31"/>
    </row>
    <row r="19" spans="2:14" x14ac:dyDescent="0.2">
      <c r="B19" s="31"/>
      <c r="C19" s="31"/>
      <c r="D19" s="31"/>
      <c r="E19" s="31"/>
      <c r="F19" s="31"/>
      <c r="G19" s="31"/>
      <c r="I19" s="31"/>
      <c r="J19" s="31"/>
      <c r="K19" s="31"/>
      <c r="L19" s="31"/>
      <c r="M19" s="31"/>
      <c r="N19" s="31"/>
    </row>
    <row r="20" spans="2:14" x14ac:dyDescent="0.2">
      <c r="B20" s="31"/>
      <c r="C20" s="31"/>
      <c r="D20" s="31"/>
      <c r="E20" s="31"/>
      <c r="F20" s="31"/>
      <c r="G20" s="31"/>
      <c r="I20" s="31"/>
      <c r="J20" s="31"/>
      <c r="K20" s="31"/>
      <c r="L20" s="31"/>
      <c r="M20" s="31"/>
      <c r="N20" s="31"/>
    </row>
    <row r="21" spans="2:14" x14ac:dyDescent="0.2">
      <c r="B21" s="31"/>
      <c r="C21" s="31"/>
      <c r="D21" s="31"/>
      <c r="E21" s="31"/>
      <c r="F21" s="31"/>
      <c r="G21" s="31"/>
      <c r="I21" s="31"/>
      <c r="J21" s="31"/>
      <c r="K21" s="31"/>
      <c r="L21" s="31"/>
      <c r="M21" s="31"/>
      <c r="N21" s="31"/>
    </row>
    <row r="22" spans="2:14" x14ac:dyDescent="0.2">
      <c r="B22" s="31"/>
      <c r="C22" s="31"/>
      <c r="D22" s="31"/>
      <c r="E22" s="31"/>
      <c r="F22" s="31"/>
      <c r="G22" s="31"/>
      <c r="I22" s="31"/>
      <c r="J22" s="31"/>
      <c r="K22" s="31"/>
      <c r="L22" s="31"/>
      <c r="M22" s="31"/>
      <c r="N22" s="31"/>
    </row>
    <row r="23" spans="2:14" x14ac:dyDescent="0.2">
      <c r="B23" s="31"/>
      <c r="C23" s="31"/>
      <c r="D23" s="31"/>
      <c r="E23" s="31"/>
      <c r="F23" s="31"/>
      <c r="G23" s="31"/>
      <c r="I23" s="31"/>
      <c r="J23" s="31"/>
      <c r="K23" s="31"/>
      <c r="L23" s="31"/>
      <c r="M23" s="31"/>
      <c r="N23" s="31"/>
    </row>
    <row r="24" spans="2:14" x14ac:dyDescent="0.2">
      <c r="B24" s="31"/>
      <c r="C24" s="31"/>
      <c r="D24" s="31"/>
      <c r="E24" s="31"/>
      <c r="F24" s="31"/>
      <c r="G24" s="31"/>
      <c r="I24" s="31"/>
      <c r="J24" s="31"/>
      <c r="K24" s="31"/>
      <c r="L24" s="31"/>
      <c r="M24" s="31"/>
      <c r="N24" s="31"/>
    </row>
    <row r="25" spans="2:14" x14ac:dyDescent="0.2">
      <c r="B25" s="31"/>
      <c r="C25" s="31"/>
      <c r="D25" s="31"/>
      <c r="E25" s="31"/>
      <c r="F25" s="31"/>
      <c r="G25" s="31"/>
      <c r="I25" s="31"/>
      <c r="J25" s="31"/>
      <c r="K25" s="31"/>
      <c r="L25" s="31"/>
      <c r="M25" s="31"/>
      <c r="N25" s="31"/>
    </row>
    <row r="26" spans="2:14" x14ac:dyDescent="0.2">
      <c r="B26" s="31"/>
      <c r="C26" s="31"/>
      <c r="D26" s="31"/>
      <c r="E26" s="31"/>
      <c r="F26" s="31"/>
      <c r="G26" s="31"/>
      <c r="I26" s="31"/>
      <c r="J26" s="31"/>
      <c r="K26" s="31"/>
      <c r="L26" s="31"/>
      <c r="M26" s="31"/>
      <c r="N26" s="31"/>
    </row>
    <row r="27" spans="2:14" x14ac:dyDescent="0.2">
      <c r="B27" s="31"/>
      <c r="C27" s="31"/>
      <c r="D27" s="31"/>
      <c r="E27" s="31"/>
      <c r="F27" s="31"/>
      <c r="G27" s="31"/>
      <c r="I27" s="31"/>
      <c r="J27" s="31"/>
      <c r="K27" s="31"/>
      <c r="L27" s="31"/>
      <c r="M27" s="31"/>
      <c r="N27" s="3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signups!$C$3:$I$3</xm:f>
          </x14:formula1>
          <xm:sqref>C3</xm:sqref>
        </x14:dataValidation>
        <x14:dataValidation type="list" allowBlank="1" showInputMessage="1" showErrorMessage="1">
          <x14:formula1>
            <xm:f>signups!$B$4:$B$8</xm:f>
          </x14:formula1>
          <xm:sqref>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1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cols>
    <col min="1" max="1" width="27.1640625" style="6" customWidth="1"/>
    <col min="2" max="3" width="10.83203125" style="6"/>
    <col min="4" max="4" width="10" style="6" customWidth="1"/>
    <col min="5" max="5" width="8.33203125" style="6" customWidth="1"/>
    <col min="6" max="6" width="6.6640625" style="6" customWidth="1"/>
    <col min="7" max="7" width="10.1640625" style="10" customWidth="1"/>
    <col min="8" max="8" width="11.1640625" style="7" customWidth="1"/>
    <col min="9" max="9" width="13.83203125" style="6" customWidth="1"/>
    <col min="10" max="10" width="14.6640625" style="6" customWidth="1"/>
    <col min="11" max="11" width="13.6640625" style="10" customWidth="1"/>
    <col min="12" max="12" width="13.1640625" style="28" customWidth="1"/>
    <col min="13" max="16384" width="10.83203125" style="6"/>
  </cols>
  <sheetData>
    <row r="1" spans="1:12" x14ac:dyDescent="0.2">
      <c r="A1" s="1" t="s">
        <v>396</v>
      </c>
      <c r="B1" s="1" t="s">
        <v>0</v>
      </c>
      <c r="C1" s="1" t="s">
        <v>382</v>
      </c>
      <c r="D1" s="2" t="s">
        <v>397</v>
      </c>
      <c r="E1" s="1" t="s">
        <v>399</v>
      </c>
      <c r="F1" s="1" t="s">
        <v>398</v>
      </c>
      <c r="G1" s="8" t="s">
        <v>389</v>
      </c>
      <c r="H1" s="8" t="s">
        <v>381</v>
      </c>
      <c r="I1" s="23" t="s">
        <v>404</v>
      </c>
      <c r="J1" s="25" t="s">
        <v>406</v>
      </c>
      <c r="K1" s="29" t="s">
        <v>405</v>
      </c>
      <c r="L1" s="26" t="s">
        <v>407</v>
      </c>
    </row>
    <row r="2" spans="1:12" x14ac:dyDescent="0.2">
      <c r="A2" s="3" t="s">
        <v>1</v>
      </c>
      <c r="B2" s="3" t="s">
        <v>386</v>
      </c>
      <c r="C2" s="3" t="s">
        <v>384</v>
      </c>
      <c r="D2" s="4">
        <v>42370</v>
      </c>
      <c r="E2" s="5">
        <v>2784</v>
      </c>
      <c r="F2" s="3">
        <v>70</v>
      </c>
      <c r="G2" s="9">
        <v>4846.3500000000004</v>
      </c>
      <c r="H2" s="9">
        <v>5590.04</v>
      </c>
      <c r="I2" s="22">
        <f>IF(E2&gt;0,H2/E2,"")</f>
        <v>2.0079166666666666</v>
      </c>
      <c r="J2" s="22" t="str">
        <f>IF(ISNUMBER(I2),IF(I2&lt;=0.5,"Low",IF(I2&lt;=1.5,"Medium","High")),"Untested")</f>
        <v>High</v>
      </c>
      <c r="K2" s="24">
        <f>IF(G2&gt;0,G2/F2,"")</f>
        <v>69.233571428571437</v>
      </c>
      <c r="L2" s="27" t="str">
        <f>IF(ISNUMBER(K2),IF(K2&lt;=75,"Low",IF(K2&lt;=200,"Medium","High")),"Untested")</f>
        <v>Low</v>
      </c>
    </row>
    <row r="3" spans="1:12" x14ac:dyDescent="0.2">
      <c r="A3" s="3" t="s">
        <v>2</v>
      </c>
      <c r="B3" s="3" t="s">
        <v>237</v>
      </c>
      <c r="C3" s="3" t="s">
        <v>383</v>
      </c>
      <c r="D3" s="4">
        <v>42370</v>
      </c>
      <c r="E3" s="5">
        <v>1222</v>
      </c>
      <c r="F3" s="3">
        <v>40</v>
      </c>
      <c r="G3" s="9">
        <v>2709.43</v>
      </c>
      <c r="H3" s="9">
        <v>3410.27</v>
      </c>
      <c r="I3" s="22">
        <f t="shared" ref="I3:I66" si="0">IF(E3&gt;0,H3/E3,"")</f>
        <v>2.7907283142389527</v>
      </c>
      <c r="J3" s="22" t="str">
        <f t="shared" ref="J3:J66" si="1">IF(ISNUMBER(I3),IF(I3&lt;=0.5,"Low",IF(I3&lt;=1.5,"Medium","High")),"Untested")</f>
        <v>High</v>
      </c>
      <c r="K3" s="24">
        <f t="shared" ref="K3:K66" si="2">IF(G3&gt;0,G3/F3,"")</f>
        <v>67.735749999999996</v>
      </c>
      <c r="L3" s="27" t="str">
        <f t="shared" ref="L3:L66" si="3">IF(ISNUMBER(K3),IF(K3&lt;=75,"Low",IF(K3&lt;=200,"Medium","High")),"Untested")</f>
        <v>Low</v>
      </c>
    </row>
    <row r="4" spans="1:12" x14ac:dyDescent="0.2">
      <c r="A4" s="3" t="s">
        <v>3</v>
      </c>
      <c r="B4" s="3" t="s">
        <v>237</v>
      </c>
      <c r="C4" s="3" t="s">
        <v>313</v>
      </c>
      <c r="D4" s="4">
        <v>42370</v>
      </c>
      <c r="E4" s="3">
        <v>410</v>
      </c>
      <c r="F4" s="3">
        <v>18</v>
      </c>
      <c r="G4" s="9">
        <v>1574.12</v>
      </c>
      <c r="H4" s="9">
        <v>212.98</v>
      </c>
      <c r="I4" s="22">
        <f t="shared" si="0"/>
        <v>0.51946341463414636</v>
      </c>
      <c r="J4" s="22" t="str">
        <f t="shared" si="1"/>
        <v>Medium</v>
      </c>
      <c r="K4" s="24">
        <f t="shared" si="2"/>
        <v>87.451111111111103</v>
      </c>
      <c r="L4" s="27" t="str">
        <f t="shared" si="3"/>
        <v>Medium</v>
      </c>
    </row>
    <row r="5" spans="1:12" x14ac:dyDescent="0.2">
      <c r="A5" s="3" t="s">
        <v>4</v>
      </c>
      <c r="B5" s="3" t="s">
        <v>237</v>
      </c>
      <c r="C5" s="3" t="s">
        <v>383</v>
      </c>
      <c r="D5" s="4">
        <v>42401</v>
      </c>
      <c r="E5" s="5">
        <v>1181</v>
      </c>
      <c r="F5" s="3">
        <v>27</v>
      </c>
      <c r="G5" s="9">
        <v>1561.77</v>
      </c>
      <c r="H5" s="9">
        <v>1376.11</v>
      </c>
      <c r="I5" s="22">
        <f t="shared" si="0"/>
        <v>1.1652074513124471</v>
      </c>
      <c r="J5" s="22" t="str">
        <f t="shared" si="1"/>
        <v>Medium</v>
      </c>
      <c r="K5" s="24">
        <f t="shared" si="2"/>
        <v>57.843333333333334</v>
      </c>
      <c r="L5" s="27" t="str">
        <f t="shared" si="3"/>
        <v>Low</v>
      </c>
    </row>
    <row r="6" spans="1:12" x14ac:dyDescent="0.2">
      <c r="A6" s="3" t="s">
        <v>6</v>
      </c>
      <c r="B6" s="3" t="s">
        <v>237</v>
      </c>
      <c r="C6" s="3" t="s">
        <v>313</v>
      </c>
      <c r="D6" s="4">
        <v>42430</v>
      </c>
      <c r="E6" s="3">
        <v>307</v>
      </c>
      <c r="F6" s="3">
        <v>18</v>
      </c>
      <c r="G6" s="9">
        <v>1455.89</v>
      </c>
      <c r="H6" s="9">
        <v>890.43</v>
      </c>
      <c r="I6" s="22">
        <f t="shared" si="0"/>
        <v>2.9004234527687296</v>
      </c>
      <c r="J6" s="22" t="str">
        <f t="shared" si="1"/>
        <v>High</v>
      </c>
      <c r="K6" s="24">
        <f t="shared" si="2"/>
        <v>80.88277777777779</v>
      </c>
      <c r="L6" s="27" t="str">
        <f t="shared" si="3"/>
        <v>Medium</v>
      </c>
    </row>
    <row r="7" spans="1:12" x14ac:dyDescent="0.2">
      <c r="A7" s="3" t="s">
        <v>7</v>
      </c>
      <c r="B7" s="3" t="s">
        <v>22</v>
      </c>
      <c r="C7" s="3" t="s">
        <v>383</v>
      </c>
      <c r="D7" s="4">
        <v>42430</v>
      </c>
      <c r="E7" s="3">
        <v>302</v>
      </c>
      <c r="F7" s="3">
        <v>14</v>
      </c>
      <c r="G7" s="9">
        <v>1379.97</v>
      </c>
      <c r="H7" s="9">
        <v>491.01</v>
      </c>
      <c r="I7" s="22">
        <f t="shared" si="0"/>
        <v>1.6258609271523179</v>
      </c>
      <c r="J7" s="22" t="str">
        <f t="shared" si="1"/>
        <v>High</v>
      </c>
      <c r="K7" s="24">
        <f t="shared" si="2"/>
        <v>98.569285714285712</v>
      </c>
      <c r="L7" s="27" t="str">
        <f t="shared" si="3"/>
        <v>Medium</v>
      </c>
    </row>
    <row r="8" spans="1:12" x14ac:dyDescent="0.2">
      <c r="A8" s="3" t="s">
        <v>8</v>
      </c>
      <c r="B8" s="3" t="s">
        <v>22</v>
      </c>
      <c r="C8" s="3" t="s">
        <v>313</v>
      </c>
      <c r="D8" s="4">
        <v>42430</v>
      </c>
      <c r="E8" s="3">
        <v>41</v>
      </c>
      <c r="F8" s="3">
        <v>5</v>
      </c>
      <c r="G8" s="9">
        <v>1199.5999999999999</v>
      </c>
      <c r="H8" s="9">
        <v>49.58</v>
      </c>
      <c r="I8" s="22">
        <f t="shared" si="0"/>
        <v>1.2092682926829268</v>
      </c>
      <c r="J8" s="22" t="str">
        <f t="shared" si="1"/>
        <v>Medium</v>
      </c>
      <c r="K8" s="24">
        <f t="shared" si="2"/>
        <v>239.92</v>
      </c>
      <c r="L8" s="27" t="str">
        <f t="shared" si="3"/>
        <v>High</v>
      </c>
    </row>
    <row r="9" spans="1:12" x14ac:dyDescent="0.2">
      <c r="A9" s="3" t="s">
        <v>9</v>
      </c>
      <c r="B9" s="3" t="s">
        <v>385</v>
      </c>
      <c r="C9" s="3" t="s">
        <v>383</v>
      </c>
      <c r="D9" s="4">
        <v>42370</v>
      </c>
      <c r="E9" s="3">
        <v>77</v>
      </c>
      <c r="F9" s="3">
        <v>11</v>
      </c>
      <c r="G9" s="9">
        <v>1171.27</v>
      </c>
      <c r="H9" s="9">
        <v>124.84</v>
      </c>
      <c r="I9" s="22">
        <f t="shared" si="0"/>
        <v>1.6212987012987012</v>
      </c>
      <c r="J9" s="22" t="str">
        <f t="shared" si="1"/>
        <v>High</v>
      </c>
      <c r="K9" s="24">
        <f t="shared" si="2"/>
        <v>106.47909090909091</v>
      </c>
      <c r="L9" s="27" t="str">
        <f t="shared" si="3"/>
        <v>Medium</v>
      </c>
    </row>
    <row r="10" spans="1:12" x14ac:dyDescent="0.2">
      <c r="A10" s="3" t="s">
        <v>10</v>
      </c>
      <c r="B10" s="3" t="s">
        <v>237</v>
      </c>
      <c r="C10" s="3" t="s">
        <v>313</v>
      </c>
      <c r="D10" s="4">
        <v>42401</v>
      </c>
      <c r="E10" s="3">
        <v>206</v>
      </c>
      <c r="F10" s="3">
        <v>16</v>
      </c>
      <c r="G10" s="9">
        <v>1056.3800000000001</v>
      </c>
      <c r="H10" s="9">
        <v>153.41999999999999</v>
      </c>
      <c r="I10" s="22">
        <f t="shared" si="0"/>
        <v>0.74475728155339804</v>
      </c>
      <c r="J10" s="22" t="str">
        <f t="shared" si="1"/>
        <v>Medium</v>
      </c>
      <c r="K10" s="24">
        <f t="shared" si="2"/>
        <v>66.023750000000007</v>
      </c>
      <c r="L10" s="27" t="str">
        <f t="shared" si="3"/>
        <v>Low</v>
      </c>
    </row>
    <row r="11" spans="1:12" x14ac:dyDescent="0.2">
      <c r="A11" s="3" t="s">
        <v>11</v>
      </c>
      <c r="B11" s="3" t="s">
        <v>22</v>
      </c>
      <c r="C11" s="3" t="s">
        <v>383</v>
      </c>
      <c r="D11" s="4">
        <v>42370</v>
      </c>
      <c r="E11" s="3">
        <v>312</v>
      </c>
      <c r="F11" s="3">
        <v>11</v>
      </c>
      <c r="G11" s="9">
        <v>966</v>
      </c>
      <c r="H11" s="9">
        <v>465.24</v>
      </c>
      <c r="I11" s="22">
        <f t="shared" si="0"/>
        <v>1.4911538461538463</v>
      </c>
      <c r="J11" s="22" t="str">
        <f t="shared" si="1"/>
        <v>Medium</v>
      </c>
      <c r="K11" s="24">
        <f t="shared" si="2"/>
        <v>87.818181818181813</v>
      </c>
      <c r="L11" s="27" t="str">
        <f t="shared" si="3"/>
        <v>Medium</v>
      </c>
    </row>
    <row r="12" spans="1:12" x14ac:dyDescent="0.2">
      <c r="A12" s="3" t="s">
        <v>12</v>
      </c>
      <c r="B12" s="3" t="s">
        <v>237</v>
      </c>
      <c r="C12" s="3" t="s">
        <v>387</v>
      </c>
      <c r="D12" s="4">
        <v>42430</v>
      </c>
      <c r="E12" s="3">
        <v>132</v>
      </c>
      <c r="F12" s="3">
        <v>4</v>
      </c>
      <c r="G12" s="9">
        <v>875</v>
      </c>
      <c r="H12" s="9">
        <v>65.650000000000006</v>
      </c>
      <c r="I12" s="22">
        <f t="shared" si="0"/>
        <v>0.49734848484848487</v>
      </c>
      <c r="J12" s="22" t="str">
        <f t="shared" si="1"/>
        <v>Low</v>
      </c>
      <c r="K12" s="24">
        <f t="shared" si="2"/>
        <v>218.75</v>
      </c>
      <c r="L12" s="27" t="str">
        <f t="shared" si="3"/>
        <v>High</v>
      </c>
    </row>
    <row r="13" spans="1:12" x14ac:dyDescent="0.2">
      <c r="A13" s="3" t="s">
        <v>13</v>
      </c>
      <c r="B13" s="3" t="s">
        <v>22</v>
      </c>
      <c r="C13" s="3" t="s">
        <v>313</v>
      </c>
      <c r="D13" s="4">
        <v>42401</v>
      </c>
      <c r="E13" s="3">
        <v>481</v>
      </c>
      <c r="F13" s="3">
        <v>5</v>
      </c>
      <c r="G13" s="9">
        <v>822</v>
      </c>
      <c r="H13" s="9">
        <v>270.39999999999998</v>
      </c>
      <c r="I13" s="22">
        <f t="shared" si="0"/>
        <v>0.56216216216216208</v>
      </c>
      <c r="J13" s="22" t="str">
        <f t="shared" si="1"/>
        <v>Medium</v>
      </c>
      <c r="K13" s="24">
        <f t="shared" si="2"/>
        <v>164.4</v>
      </c>
      <c r="L13" s="27" t="str">
        <f t="shared" si="3"/>
        <v>Medium</v>
      </c>
    </row>
    <row r="14" spans="1:12" x14ac:dyDescent="0.2">
      <c r="A14" s="3" t="s">
        <v>14</v>
      </c>
      <c r="B14" s="3" t="s">
        <v>22</v>
      </c>
      <c r="C14" s="3" t="s">
        <v>313</v>
      </c>
      <c r="D14" s="4">
        <v>42370</v>
      </c>
      <c r="E14" s="3">
        <v>636</v>
      </c>
      <c r="F14" s="3">
        <v>15</v>
      </c>
      <c r="G14" s="9">
        <v>800.19</v>
      </c>
      <c r="H14" s="9">
        <v>138.76</v>
      </c>
      <c r="I14" s="22">
        <f t="shared" si="0"/>
        <v>0.21817610062893081</v>
      </c>
      <c r="J14" s="22" t="str">
        <f t="shared" si="1"/>
        <v>Low</v>
      </c>
      <c r="K14" s="24">
        <f t="shared" si="2"/>
        <v>53.346000000000004</v>
      </c>
      <c r="L14" s="27" t="str">
        <f t="shared" si="3"/>
        <v>Low</v>
      </c>
    </row>
    <row r="15" spans="1:12" x14ac:dyDescent="0.2">
      <c r="A15" s="3" t="s">
        <v>15</v>
      </c>
      <c r="B15" s="3" t="s">
        <v>386</v>
      </c>
      <c r="C15" s="3" t="s">
        <v>341</v>
      </c>
      <c r="D15" s="4">
        <v>42370</v>
      </c>
      <c r="E15" s="3">
        <v>11</v>
      </c>
      <c r="F15" s="3">
        <v>1</v>
      </c>
      <c r="G15" s="9">
        <v>720</v>
      </c>
      <c r="H15" s="9">
        <v>11.92</v>
      </c>
      <c r="I15" s="22">
        <f t="shared" si="0"/>
        <v>1.0836363636363637</v>
      </c>
      <c r="J15" s="22" t="str">
        <f t="shared" si="1"/>
        <v>Medium</v>
      </c>
      <c r="K15" s="24">
        <f t="shared" si="2"/>
        <v>720</v>
      </c>
      <c r="L15" s="27" t="str">
        <f t="shared" si="3"/>
        <v>High</v>
      </c>
    </row>
    <row r="16" spans="1:12" x14ac:dyDescent="0.2">
      <c r="A16" s="3" t="s">
        <v>16</v>
      </c>
      <c r="B16" s="3" t="s">
        <v>22</v>
      </c>
      <c r="C16" s="3" t="s">
        <v>313</v>
      </c>
      <c r="D16" s="4">
        <v>42430</v>
      </c>
      <c r="E16" s="3">
        <v>306</v>
      </c>
      <c r="F16" s="3">
        <v>9</v>
      </c>
      <c r="G16" s="9">
        <v>717.61</v>
      </c>
      <c r="H16" s="9">
        <v>403.78</v>
      </c>
      <c r="I16" s="22">
        <f t="shared" si="0"/>
        <v>1.3195424836601306</v>
      </c>
      <c r="J16" s="22" t="str">
        <f t="shared" si="1"/>
        <v>Medium</v>
      </c>
      <c r="K16" s="24">
        <f t="shared" si="2"/>
        <v>79.734444444444449</v>
      </c>
      <c r="L16" s="27" t="str">
        <f t="shared" si="3"/>
        <v>Medium</v>
      </c>
    </row>
    <row r="17" spans="1:12" x14ac:dyDescent="0.2">
      <c r="A17" s="3" t="s">
        <v>17</v>
      </c>
      <c r="B17" s="3" t="s">
        <v>386</v>
      </c>
      <c r="C17" s="3" t="s">
        <v>341</v>
      </c>
      <c r="D17" s="4">
        <v>42370</v>
      </c>
      <c r="E17" s="3">
        <v>429</v>
      </c>
      <c r="F17" s="3">
        <v>8</v>
      </c>
      <c r="G17" s="9">
        <v>709.9</v>
      </c>
      <c r="H17" s="9">
        <v>671.8</v>
      </c>
      <c r="I17" s="22">
        <f t="shared" si="0"/>
        <v>1.5659673659673659</v>
      </c>
      <c r="J17" s="22" t="str">
        <f t="shared" si="1"/>
        <v>High</v>
      </c>
      <c r="K17" s="24">
        <f t="shared" si="2"/>
        <v>88.737499999999997</v>
      </c>
      <c r="L17" s="27" t="str">
        <f t="shared" si="3"/>
        <v>Medium</v>
      </c>
    </row>
    <row r="18" spans="1:12" x14ac:dyDescent="0.2">
      <c r="A18" s="3" t="s">
        <v>18</v>
      </c>
      <c r="B18" s="3" t="s">
        <v>22</v>
      </c>
      <c r="C18" s="3" t="s">
        <v>313</v>
      </c>
      <c r="D18" s="4">
        <v>42401</v>
      </c>
      <c r="E18" s="3">
        <v>69</v>
      </c>
      <c r="F18" s="3">
        <v>3</v>
      </c>
      <c r="G18" s="9">
        <v>709.49</v>
      </c>
      <c r="H18" s="9">
        <v>115.73</v>
      </c>
      <c r="I18" s="22">
        <f t="shared" si="0"/>
        <v>1.6772463768115942</v>
      </c>
      <c r="J18" s="22" t="str">
        <f t="shared" si="1"/>
        <v>High</v>
      </c>
      <c r="K18" s="24">
        <f t="shared" si="2"/>
        <v>236.49666666666667</v>
      </c>
      <c r="L18" s="27" t="str">
        <f t="shared" si="3"/>
        <v>High</v>
      </c>
    </row>
    <row r="19" spans="1:12" x14ac:dyDescent="0.2">
      <c r="A19" s="3" t="s">
        <v>19</v>
      </c>
      <c r="B19" s="3" t="s">
        <v>385</v>
      </c>
      <c r="C19" s="3" t="s">
        <v>383</v>
      </c>
      <c r="D19" s="4">
        <v>42430</v>
      </c>
      <c r="E19" s="3">
        <v>36</v>
      </c>
      <c r="F19" s="3">
        <v>8</v>
      </c>
      <c r="G19" s="9">
        <v>697.48</v>
      </c>
      <c r="H19" s="9">
        <v>57.21</v>
      </c>
      <c r="I19" s="22">
        <f t="shared" si="0"/>
        <v>1.5891666666666666</v>
      </c>
      <c r="J19" s="22" t="str">
        <f t="shared" si="1"/>
        <v>High</v>
      </c>
      <c r="K19" s="24">
        <f t="shared" si="2"/>
        <v>87.185000000000002</v>
      </c>
      <c r="L19" s="27" t="str">
        <f t="shared" si="3"/>
        <v>Medium</v>
      </c>
    </row>
    <row r="20" spans="1:12" x14ac:dyDescent="0.2">
      <c r="A20" s="3" t="s">
        <v>20</v>
      </c>
      <c r="B20" s="3" t="s">
        <v>22</v>
      </c>
      <c r="C20" s="3" t="s">
        <v>383</v>
      </c>
      <c r="D20" s="4">
        <v>42401</v>
      </c>
      <c r="E20" s="3">
        <v>125</v>
      </c>
      <c r="F20" s="3">
        <v>6</v>
      </c>
      <c r="G20" s="9">
        <v>632</v>
      </c>
      <c r="H20" s="9">
        <v>159.16</v>
      </c>
      <c r="I20" s="22">
        <f t="shared" si="0"/>
        <v>1.27328</v>
      </c>
      <c r="J20" s="22" t="str">
        <f t="shared" si="1"/>
        <v>Medium</v>
      </c>
      <c r="K20" s="24">
        <f t="shared" si="2"/>
        <v>105.33333333333333</v>
      </c>
      <c r="L20" s="27" t="str">
        <f t="shared" si="3"/>
        <v>Medium</v>
      </c>
    </row>
    <row r="21" spans="1:12" x14ac:dyDescent="0.2">
      <c r="A21" s="3" t="s">
        <v>21</v>
      </c>
      <c r="B21" s="3" t="s">
        <v>237</v>
      </c>
      <c r="C21" s="3" t="s">
        <v>313</v>
      </c>
      <c r="D21" s="4">
        <v>42401</v>
      </c>
      <c r="E21" s="3">
        <v>785</v>
      </c>
      <c r="F21" s="3">
        <v>10</v>
      </c>
      <c r="G21" s="9">
        <v>591.6</v>
      </c>
      <c r="H21" s="9">
        <v>233.84</v>
      </c>
      <c r="I21" s="22">
        <f t="shared" si="0"/>
        <v>0.29788535031847135</v>
      </c>
      <c r="J21" s="22" t="str">
        <f t="shared" si="1"/>
        <v>Low</v>
      </c>
      <c r="K21" s="24">
        <f t="shared" si="2"/>
        <v>59.160000000000004</v>
      </c>
      <c r="L21" s="27" t="str">
        <f t="shared" si="3"/>
        <v>Low</v>
      </c>
    </row>
    <row r="22" spans="1:12" x14ac:dyDescent="0.2">
      <c r="A22" s="3" t="s">
        <v>23</v>
      </c>
      <c r="B22" s="3" t="s">
        <v>237</v>
      </c>
      <c r="C22" s="3" t="s">
        <v>313</v>
      </c>
      <c r="D22" s="4">
        <v>42430</v>
      </c>
      <c r="E22" s="3">
        <v>53</v>
      </c>
      <c r="F22" s="3">
        <v>2</v>
      </c>
      <c r="G22" s="9">
        <v>487</v>
      </c>
      <c r="H22" s="9">
        <v>21.2</v>
      </c>
      <c r="I22" s="22">
        <f t="shared" si="0"/>
        <v>0.39999999999999997</v>
      </c>
      <c r="J22" s="22" t="str">
        <f t="shared" si="1"/>
        <v>Low</v>
      </c>
      <c r="K22" s="24">
        <f t="shared" si="2"/>
        <v>243.5</v>
      </c>
      <c r="L22" s="27" t="str">
        <f t="shared" si="3"/>
        <v>High</v>
      </c>
    </row>
    <row r="23" spans="1:12" x14ac:dyDescent="0.2">
      <c r="A23" s="3" t="s">
        <v>24</v>
      </c>
      <c r="B23" s="3" t="s">
        <v>22</v>
      </c>
      <c r="C23" s="3" t="s">
        <v>383</v>
      </c>
      <c r="D23" s="4">
        <v>42401</v>
      </c>
      <c r="E23" s="3">
        <v>113</v>
      </c>
      <c r="F23" s="3">
        <v>4</v>
      </c>
      <c r="G23" s="9">
        <v>484</v>
      </c>
      <c r="H23" s="9">
        <v>116.44</v>
      </c>
      <c r="I23" s="22">
        <f t="shared" si="0"/>
        <v>1.0304424778761061</v>
      </c>
      <c r="J23" s="22" t="str">
        <f t="shared" si="1"/>
        <v>Medium</v>
      </c>
      <c r="K23" s="24">
        <f t="shared" si="2"/>
        <v>121</v>
      </c>
      <c r="L23" s="27" t="str">
        <f t="shared" si="3"/>
        <v>Medium</v>
      </c>
    </row>
    <row r="24" spans="1:12" x14ac:dyDescent="0.2">
      <c r="A24" s="3" t="s">
        <v>25</v>
      </c>
      <c r="B24" s="3" t="s">
        <v>386</v>
      </c>
      <c r="C24" s="3" t="s">
        <v>313</v>
      </c>
      <c r="D24" s="4">
        <v>42401</v>
      </c>
      <c r="E24" s="3">
        <v>83</v>
      </c>
      <c r="F24" s="3">
        <v>2</v>
      </c>
      <c r="G24" s="9">
        <v>482.7</v>
      </c>
      <c r="H24" s="9">
        <v>64.5</v>
      </c>
      <c r="I24" s="22">
        <f t="shared" si="0"/>
        <v>0.77710843373493976</v>
      </c>
      <c r="J24" s="22" t="str">
        <f t="shared" si="1"/>
        <v>Medium</v>
      </c>
      <c r="K24" s="24">
        <f t="shared" si="2"/>
        <v>241.35</v>
      </c>
      <c r="L24" s="27" t="str">
        <f t="shared" si="3"/>
        <v>High</v>
      </c>
    </row>
    <row r="25" spans="1:12" x14ac:dyDescent="0.2">
      <c r="A25" s="3" t="s">
        <v>27</v>
      </c>
      <c r="B25" s="3" t="s">
        <v>386</v>
      </c>
      <c r="C25" s="3" t="s">
        <v>383</v>
      </c>
      <c r="D25" s="4">
        <v>42430</v>
      </c>
      <c r="E25" s="3">
        <v>84</v>
      </c>
      <c r="F25" s="3">
        <v>4</v>
      </c>
      <c r="G25" s="9">
        <v>470.59</v>
      </c>
      <c r="H25" s="9">
        <v>57.3</v>
      </c>
      <c r="I25" s="22">
        <f t="shared" si="0"/>
        <v>0.68214285714285716</v>
      </c>
      <c r="J25" s="22" t="str">
        <f t="shared" si="1"/>
        <v>Medium</v>
      </c>
      <c r="K25" s="24">
        <f t="shared" si="2"/>
        <v>117.64749999999999</v>
      </c>
      <c r="L25" s="27" t="str">
        <f t="shared" si="3"/>
        <v>Medium</v>
      </c>
    </row>
    <row r="26" spans="1:12" x14ac:dyDescent="0.2">
      <c r="A26" s="3" t="s">
        <v>28</v>
      </c>
      <c r="B26" s="3" t="s">
        <v>386</v>
      </c>
      <c r="C26" s="3" t="s">
        <v>341</v>
      </c>
      <c r="D26" s="4">
        <v>42370</v>
      </c>
      <c r="E26" s="3">
        <v>270</v>
      </c>
      <c r="F26" s="3">
        <v>6</v>
      </c>
      <c r="G26" s="9">
        <v>467.83</v>
      </c>
      <c r="H26" s="9">
        <v>295.19</v>
      </c>
      <c r="I26" s="22">
        <f t="shared" si="0"/>
        <v>1.0932962962962962</v>
      </c>
      <c r="J26" s="22" t="str">
        <f t="shared" si="1"/>
        <v>Medium</v>
      </c>
      <c r="K26" s="24">
        <f t="shared" si="2"/>
        <v>77.971666666666664</v>
      </c>
      <c r="L26" s="27" t="str">
        <f t="shared" si="3"/>
        <v>Medium</v>
      </c>
    </row>
    <row r="27" spans="1:12" x14ac:dyDescent="0.2">
      <c r="A27" s="3" t="s">
        <v>30</v>
      </c>
      <c r="B27" s="3" t="s">
        <v>385</v>
      </c>
      <c r="C27" s="3" t="s">
        <v>383</v>
      </c>
      <c r="D27" s="4">
        <v>42430</v>
      </c>
      <c r="E27" s="3">
        <v>51</v>
      </c>
      <c r="F27" s="3">
        <v>2</v>
      </c>
      <c r="G27" s="9">
        <v>458</v>
      </c>
      <c r="H27" s="9">
        <v>89.58</v>
      </c>
      <c r="I27" s="22">
        <f t="shared" si="0"/>
        <v>1.756470588235294</v>
      </c>
      <c r="J27" s="22" t="str">
        <f t="shared" si="1"/>
        <v>High</v>
      </c>
      <c r="K27" s="24">
        <f t="shared" si="2"/>
        <v>229</v>
      </c>
      <c r="L27" s="27" t="str">
        <f t="shared" si="3"/>
        <v>High</v>
      </c>
    </row>
    <row r="28" spans="1:12" x14ac:dyDescent="0.2">
      <c r="A28" s="3" t="s">
        <v>31</v>
      </c>
      <c r="B28" s="3" t="s">
        <v>386</v>
      </c>
      <c r="C28" s="3" t="s">
        <v>341</v>
      </c>
      <c r="D28" s="4">
        <v>42401</v>
      </c>
      <c r="E28" s="3">
        <v>28</v>
      </c>
      <c r="F28" s="3">
        <v>2</v>
      </c>
      <c r="G28" s="9">
        <v>435</v>
      </c>
      <c r="H28" s="9">
        <v>49.76</v>
      </c>
      <c r="I28" s="22">
        <f t="shared" si="0"/>
        <v>1.7771428571428571</v>
      </c>
      <c r="J28" s="22" t="str">
        <f t="shared" si="1"/>
        <v>High</v>
      </c>
      <c r="K28" s="24">
        <f t="shared" si="2"/>
        <v>217.5</v>
      </c>
      <c r="L28" s="27" t="str">
        <f t="shared" si="3"/>
        <v>High</v>
      </c>
    </row>
    <row r="29" spans="1:12" x14ac:dyDescent="0.2">
      <c r="A29" s="3" t="s">
        <v>32</v>
      </c>
      <c r="B29" s="3" t="s">
        <v>386</v>
      </c>
      <c r="C29" s="3" t="s">
        <v>384</v>
      </c>
      <c r="D29" s="4">
        <v>42401</v>
      </c>
      <c r="E29" s="3">
        <v>245</v>
      </c>
      <c r="F29" s="3">
        <v>5</v>
      </c>
      <c r="G29" s="9">
        <v>425</v>
      </c>
      <c r="H29" s="9">
        <v>129.97</v>
      </c>
      <c r="I29" s="22">
        <f t="shared" si="0"/>
        <v>0.53048979591836731</v>
      </c>
      <c r="J29" s="22" t="str">
        <f t="shared" si="1"/>
        <v>Medium</v>
      </c>
      <c r="K29" s="24">
        <f t="shared" si="2"/>
        <v>85</v>
      </c>
      <c r="L29" s="27" t="str">
        <f t="shared" si="3"/>
        <v>Medium</v>
      </c>
    </row>
    <row r="30" spans="1:12" x14ac:dyDescent="0.2">
      <c r="A30" s="3" t="s">
        <v>33</v>
      </c>
      <c r="B30" s="3" t="s">
        <v>237</v>
      </c>
      <c r="C30" s="3" t="s">
        <v>313</v>
      </c>
      <c r="D30" s="4">
        <v>42430</v>
      </c>
      <c r="E30" s="3">
        <v>51</v>
      </c>
      <c r="F30" s="3">
        <v>3</v>
      </c>
      <c r="G30" s="9">
        <v>413</v>
      </c>
      <c r="H30" s="9">
        <v>67</v>
      </c>
      <c r="I30" s="22">
        <f t="shared" si="0"/>
        <v>1.3137254901960784</v>
      </c>
      <c r="J30" s="22" t="str">
        <f t="shared" si="1"/>
        <v>Medium</v>
      </c>
      <c r="K30" s="24">
        <f t="shared" si="2"/>
        <v>137.66666666666666</v>
      </c>
      <c r="L30" s="27" t="str">
        <f t="shared" si="3"/>
        <v>Medium</v>
      </c>
    </row>
    <row r="31" spans="1:12" x14ac:dyDescent="0.2">
      <c r="A31" s="3" t="s">
        <v>35</v>
      </c>
      <c r="B31" s="3" t="s">
        <v>237</v>
      </c>
      <c r="C31" s="3" t="s">
        <v>313</v>
      </c>
      <c r="D31" s="4">
        <v>42430</v>
      </c>
      <c r="E31" s="3">
        <v>266</v>
      </c>
      <c r="F31" s="3">
        <v>6</v>
      </c>
      <c r="G31" s="9">
        <v>387.5</v>
      </c>
      <c r="H31" s="9">
        <v>115.41</v>
      </c>
      <c r="I31" s="22">
        <f t="shared" si="0"/>
        <v>0.4338721804511278</v>
      </c>
      <c r="J31" s="22" t="str">
        <f t="shared" si="1"/>
        <v>Low</v>
      </c>
      <c r="K31" s="24">
        <f t="shared" si="2"/>
        <v>64.583333333333329</v>
      </c>
      <c r="L31" s="27" t="str">
        <f t="shared" si="3"/>
        <v>Low</v>
      </c>
    </row>
    <row r="32" spans="1:12" x14ac:dyDescent="0.2">
      <c r="A32" s="3" t="s">
        <v>36</v>
      </c>
      <c r="B32" s="3" t="s">
        <v>386</v>
      </c>
      <c r="C32" s="3" t="s">
        <v>384</v>
      </c>
      <c r="D32" s="4">
        <v>42401</v>
      </c>
      <c r="E32" s="3">
        <v>158</v>
      </c>
      <c r="F32" s="3">
        <v>4</v>
      </c>
      <c r="G32" s="9">
        <v>386.93</v>
      </c>
      <c r="H32" s="9">
        <v>100.93</v>
      </c>
      <c r="I32" s="22">
        <f t="shared" si="0"/>
        <v>0.63879746835443041</v>
      </c>
      <c r="J32" s="22" t="str">
        <f t="shared" si="1"/>
        <v>Medium</v>
      </c>
      <c r="K32" s="24">
        <f t="shared" si="2"/>
        <v>96.732500000000002</v>
      </c>
      <c r="L32" s="27" t="str">
        <f t="shared" si="3"/>
        <v>Medium</v>
      </c>
    </row>
    <row r="33" spans="1:12" x14ac:dyDescent="0.2">
      <c r="A33" s="3" t="s">
        <v>37</v>
      </c>
      <c r="B33" s="3" t="s">
        <v>386</v>
      </c>
      <c r="C33" s="3" t="s">
        <v>313</v>
      </c>
      <c r="D33" s="4">
        <v>42370</v>
      </c>
      <c r="E33" s="3">
        <v>205</v>
      </c>
      <c r="F33" s="3">
        <v>3</v>
      </c>
      <c r="G33" s="9">
        <v>383.99</v>
      </c>
      <c r="H33" s="9">
        <v>37.36</v>
      </c>
      <c r="I33" s="22">
        <f t="shared" si="0"/>
        <v>0.18224390243902439</v>
      </c>
      <c r="J33" s="22" t="str">
        <f t="shared" si="1"/>
        <v>Low</v>
      </c>
      <c r="K33" s="24">
        <f t="shared" si="2"/>
        <v>127.99666666666667</v>
      </c>
      <c r="L33" s="27" t="str">
        <f t="shared" si="3"/>
        <v>Medium</v>
      </c>
    </row>
    <row r="34" spans="1:12" x14ac:dyDescent="0.2">
      <c r="A34" s="3" t="s">
        <v>38</v>
      </c>
      <c r="B34" s="3" t="s">
        <v>386</v>
      </c>
      <c r="C34" s="3" t="s">
        <v>384</v>
      </c>
      <c r="D34" s="4">
        <v>42370</v>
      </c>
      <c r="E34" s="3">
        <v>210</v>
      </c>
      <c r="F34" s="3">
        <v>4</v>
      </c>
      <c r="G34" s="9">
        <v>377.96</v>
      </c>
      <c r="H34" s="9">
        <v>107.2</v>
      </c>
      <c r="I34" s="22">
        <f t="shared" si="0"/>
        <v>0.51047619047619053</v>
      </c>
      <c r="J34" s="22" t="str">
        <f t="shared" si="1"/>
        <v>Medium</v>
      </c>
      <c r="K34" s="24">
        <f t="shared" si="2"/>
        <v>94.49</v>
      </c>
      <c r="L34" s="27" t="str">
        <f t="shared" si="3"/>
        <v>Medium</v>
      </c>
    </row>
    <row r="35" spans="1:12" x14ac:dyDescent="0.2">
      <c r="A35" s="3" t="s">
        <v>39</v>
      </c>
      <c r="B35" s="3" t="s">
        <v>22</v>
      </c>
      <c r="C35" s="3" t="s">
        <v>313</v>
      </c>
      <c r="D35" s="4">
        <v>42370</v>
      </c>
      <c r="E35" s="3">
        <v>57</v>
      </c>
      <c r="F35" s="3">
        <v>6</v>
      </c>
      <c r="G35" s="9">
        <v>375</v>
      </c>
      <c r="H35" s="9">
        <v>41.87</v>
      </c>
      <c r="I35" s="22">
        <f t="shared" si="0"/>
        <v>0.73456140350877186</v>
      </c>
      <c r="J35" s="22" t="str">
        <f t="shared" si="1"/>
        <v>Medium</v>
      </c>
      <c r="K35" s="24">
        <f t="shared" si="2"/>
        <v>62.5</v>
      </c>
      <c r="L35" s="27" t="str">
        <f t="shared" si="3"/>
        <v>Low</v>
      </c>
    </row>
    <row r="36" spans="1:12" x14ac:dyDescent="0.2">
      <c r="A36" s="3" t="s">
        <v>40</v>
      </c>
      <c r="B36" s="3" t="s">
        <v>22</v>
      </c>
      <c r="C36" s="3" t="s">
        <v>313</v>
      </c>
      <c r="D36" s="4">
        <v>42430</v>
      </c>
      <c r="E36" s="3">
        <v>43</v>
      </c>
      <c r="F36" s="3">
        <v>4</v>
      </c>
      <c r="G36" s="9">
        <v>370</v>
      </c>
      <c r="H36" s="9">
        <v>23.27</v>
      </c>
      <c r="I36" s="22">
        <f t="shared" si="0"/>
        <v>0.54116279069767437</v>
      </c>
      <c r="J36" s="22" t="str">
        <f t="shared" si="1"/>
        <v>Medium</v>
      </c>
      <c r="K36" s="24">
        <f t="shared" si="2"/>
        <v>92.5</v>
      </c>
      <c r="L36" s="27" t="str">
        <f t="shared" si="3"/>
        <v>Medium</v>
      </c>
    </row>
    <row r="37" spans="1:12" x14ac:dyDescent="0.2">
      <c r="A37" s="3" t="s">
        <v>41</v>
      </c>
      <c r="B37" s="3" t="s">
        <v>237</v>
      </c>
      <c r="C37" s="3" t="s">
        <v>313</v>
      </c>
      <c r="D37" s="4">
        <v>42430</v>
      </c>
      <c r="E37" s="3">
        <v>35</v>
      </c>
      <c r="F37" s="3">
        <v>2</v>
      </c>
      <c r="G37" s="9">
        <v>367</v>
      </c>
      <c r="H37" s="9">
        <v>4.57</v>
      </c>
      <c r="I37" s="22">
        <f t="shared" si="0"/>
        <v>0.13057142857142859</v>
      </c>
      <c r="J37" s="22" t="str">
        <f t="shared" si="1"/>
        <v>Low</v>
      </c>
      <c r="K37" s="24">
        <f t="shared" si="2"/>
        <v>183.5</v>
      </c>
      <c r="L37" s="27" t="str">
        <f t="shared" si="3"/>
        <v>Medium</v>
      </c>
    </row>
    <row r="38" spans="1:12" x14ac:dyDescent="0.2">
      <c r="A38" s="3" t="s">
        <v>42</v>
      </c>
      <c r="B38" s="3" t="s">
        <v>386</v>
      </c>
      <c r="C38" s="3" t="s">
        <v>341</v>
      </c>
      <c r="D38" s="4">
        <v>42370</v>
      </c>
      <c r="E38" s="3">
        <v>108</v>
      </c>
      <c r="F38" s="3">
        <v>6</v>
      </c>
      <c r="G38" s="9">
        <v>360.9</v>
      </c>
      <c r="H38" s="9">
        <v>133.24</v>
      </c>
      <c r="I38" s="22">
        <f t="shared" si="0"/>
        <v>1.2337037037037037</v>
      </c>
      <c r="J38" s="22" t="str">
        <f t="shared" si="1"/>
        <v>Medium</v>
      </c>
      <c r="K38" s="24">
        <f t="shared" si="2"/>
        <v>60.15</v>
      </c>
      <c r="L38" s="27" t="str">
        <f t="shared" si="3"/>
        <v>Low</v>
      </c>
    </row>
    <row r="39" spans="1:12" x14ac:dyDescent="0.2">
      <c r="A39" s="3" t="s">
        <v>44</v>
      </c>
      <c r="B39" s="3" t="s">
        <v>386</v>
      </c>
      <c r="C39" s="3" t="s">
        <v>384</v>
      </c>
      <c r="D39" s="4">
        <v>42370</v>
      </c>
      <c r="E39" s="3">
        <v>213</v>
      </c>
      <c r="F39" s="3">
        <v>6</v>
      </c>
      <c r="G39" s="9">
        <v>349.48</v>
      </c>
      <c r="H39" s="9">
        <v>65.12</v>
      </c>
      <c r="I39" s="22">
        <f t="shared" si="0"/>
        <v>0.30572769953051643</v>
      </c>
      <c r="J39" s="22" t="str">
        <f t="shared" si="1"/>
        <v>Low</v>
      </c>
      <c r="K39" s="24">
        <f t="shared" si="2"/>
        <v>58.24666666666667</v>
      </c>
      <c r="L39" s="27" t="str">
        <f t="shared" si="3"/>
        <v>Low</v>
      </c>
    </row>
    <row r="40" spans="1:12" x14ac:dyDescent="0.2">
      <c r="A40" s="3" t="s">
        <v>45</v>
      </c>
      <c r="B40" s="3" t="s">
        <v>385</v>
      </c>
      <c r="C40" s="3" t="s">
        <v>383</v>
      </c>
      <c r="D40" s="4">
        <v>42430</v>
      </c>
      <c r="E40" s="3">
        <v>9</v>
      </c>
      <c r="F40" s="3">
        <v>1</v>
      </c>
      <c r="G40" s="9">
        <v>349</v>
      </c>
      <c r="H40" s="9">
        <v>12.46</v>
      </c>
      <c r="I40" s="22">
        <f t="shared" si="0"/>
        <v>1.3844444444444446</v>
      </c>
      <c r="J40" s="22" t="str">
        <f t="shared" si="1"/>
        <v>Medium</v>
      </c>
      <c r="K40" s="24">
        <f t="shared" si="2"/>
        <v>349</v>
      </c>
      <c r="L40" s="27" t="str">
        <f t="shared" si="3"/>
        <v>High</v>
      </c>
    </row>
    <row r="41" spans="1:12" x14ac:dyDescent="0.2">
      <c r="A41" s="3" t="s">
        <v>46</v>
      </c>
      <c r="B41" s="3" t="s">
        <v>385</v>
      </c>
      <c r="C41" s="3" t="s">
        <v>383</v>
      </c>
      <c r="D41" s="4">
        <v>42401</v>
      </c>
      <c r="E41" s="3">
        <v>97</v>
      </c>
      <c r="F41" s="3">
        <v>7</v>
      </c>
      <c r="G41" s="9">
        <v>336.3</v>
      </c>
      <c r="H41" s="9">
        <v>402.19</v>
      </c>
      <c r="I41" s="22">
        <f t="shared" si="0"/>
        <v>4.1462886597938144</v>
      </c>
      <c r="J41" s="22" t="str">
        <f t="shared" si="1"/>
        <v>High</v>
      </c>
      <c r="K41" s="24">
        <f t="shared" si="2"/>
        <v>48.042857142857144</v>
      </c>
      <c r="L41" s="27" t="str">
        <f t="shared" si="3"/>
        <v>Low</v>
      </c>
    </row>
    <row r="42" spans="1:12" x14ac:dyDescent="0.2">
      <c r="A42" s="3" t="s">
        <v>47</v>
      </c>
      <c r="B42" s="3" t="s">
        <v>237</v>
      </c>
      <c r="C42" s="3" t="s">
        <v>313</v>
      </c>
      <c r="D42" s="4">
        <v>42401</v>
      </c>
      <c r="E42" s="3">
        <v>291</v>
      </c>
      <c r="F42" s="3">
        <v>2</v>
      </c>
      <c r="G42" s="9">
        <v>333.5</v>
      </c>
      <c r="H42" s="9">
        <v>111.46</v>
      </c>
      <c r="I42" s="22">
        <f t="shared" si="0"/>
        <v>0.38302405498281783</v>
      </c>
      <c r="J42" s="22" t="str">
        <f t="shared" si="1"/>
        <v>Low</v>
      </c>
      <c r="K42" s="24">
        <f t="shared" si="2"/>
        <v>166.75</v>
      </c>
      <c r="L42" s="27" t="str">
        <f t="shared" si="3"/>
        <v>Medium</v>
      </c>
    </row>
    <row r="43" spans="1:12" x14ac:dyDescent="0.2">
      <c r="A43" s="3" t="s">
        <v>48</v>
      </c>
      <c r="B43" s="3" t="s">
        <v>237</v>
      </c>
      <c r="C43" s="3" t="s">
        <v>383</v>
      </c>
      <c r="D43" s="4">
        <v>42430</v>
      </c>
      <c r="E43" s="3">
        <v>177</v>
      </c>
      <c r="F43" s="3">
        <v>8</v>
      </c>
      <c r="G43" s="9">
        <v>325.7</v>
      </c>
      <c r="H43" s="9">
        <v>282</v>
      </c>
      <c r="I43" s="22">
        <f t="shared" si="0"/>
        <v>1.5932203389830508</v>
      </c>
      <c r="J43" s="22" t="str">
        <f t="shared" si="1"/>
        <v>High</v>
      </c>
      <c r="K43" s="24">
        <f t="shared" si="2"/>
        <v>40.712499999999999</v>
      </c>
      <c r="L43" s="27" t="str">
        <f t="shared" si="3"/>
        <v>Low</v>
      </c>
    </row>
    <row r="44" spans="1:12" x14ac:dyDescent="0.2">
      <c r="A44" s="3" t="s">
        <v>49</v>
      </c>
      <c r="B44" s="3" t="s">
        <v>237</v>
      </c>
      <c r="C44" s="3" t="s">
        <v>313</v>
      </c>
      <c r="D44" s="4">
        <v>42430</v>
      </c>
      <c r="E44" s="3">
        <v>92</v>
      </c>
      <c r="F44" s="3">
        <v>4</v>
      </c>
      <c r="G44" s="9">
        <v>313</v>
      </c>
      <c r="H44" s="9">
        <v>48.32</v>
      </c>
      <c r="I44" s="22">
        <f t="shared" si="0"/>
        <v>0.52521739130434786</v>
      </c>
      <c r="J44" s="22" t="str">
        <f t="shared" si="1"/>
        <v>Medium</v>
      </c>
      <c r="K44" s="24">
        <f t="shared" si="2"/>
        <v>78.25</v>
      </c>
      <c r="L44" s="27" t="str">
        <f t="shared" si="3"/>
        <v>Medium</v>
      </c>
    </row>
    <row r="45" spans="1:12" x14ac:dyDescent="0.2">
      <c r="A45" s="3" t="s">
        <v>50</v>
      </c>
      <c r="B45" s="3" t="s">
        <v>237</v>
      </c>
      <c r="C45" s="3" t="s">
        <v>313</v>
      </c>
      <c r="D45" s="4">
        <v>42401</v>
      </c>
      <c r="E45" s="3">
        <v>91</v>
      </c>
      <c r="F45" s="3">
        <v>4</v>
      </c>
      <c r="G45" s="9">
        <v>307.49</v>
      </c>
      <c r="H45" s="9">
        <v>202.01</v>
      </c>
      <c r="I45" s="22">
        <f t="shared" si="0"/>
        <v>2.2198901098901098</v>
      </c>
      <c r="J45" s="22" t="str">
        <f t="shared" si="1"/>
        <v>High</v>
      </c>
      <c r="K45" s="24">
        <f t="shared" si="2"/>
        <v>76.872500000000002</v>
      </c>
      <c r="L45" s="27" t="str">
        <f t="shared" si="3"/>
        <v>Medium</v>
      </c>
    </row>
    <row r="46" spans="1:12" x14ac:dyDescent="0.2">
      <c r="A46" s="3" t="s">
        <v>51</v>
      </c>
      <c r="B46" s="3" t="s">
        <v>237</v>
      </c>
      <c r="C46" s="3" t="s">
        <v>387</v>
      </c>
      <c r="D46" s="4">
        <v>42370</v>
      </c>
      <c r="E46" s="3">
        <v>110</v>
      </c>
      <c r="F46" s="3">
        <v>2</v>
      </c>
      <c r="G46" s="9">
        <v>298.99</v>
      </c>
      <c r="H46" s="9">
        <v>32.96</v>
      </c>
      <c r="I46" s="22">
        <f t="shared" si="0"/>
        <v>0.29963636363636365</v>
      </c>
      <c r="J46" s="22" t="str">
        <f t="shared" si="1"/>
        <v>Low</v>
      </c>
      <c r="K46" s="24">
        <f t="shared" si="2"/>
        <v>149.495</v>
      </c>
      <c r="L46" s="27" t="str">
        <f t="shared" si="3"/>
        <v>Medium</v>
      </c>
    </row>
    <row r="47" spans="1:12" x14ac:dyDescent="0.2">
      <c r="A47" s="3" t="s">
        <v>52</v>
      </c>
      <c r="B47" s="3" t="s">
        <v>386</v>
      </c>
      <c r="C47" s="3" t="s">
        <v>313</v>
      </c>
      <c r="D47" s="4">
        <v>42370</v>
      </c>
      <c r="E47" s="3">
        <v>59</v>
      </c>
      <c r="F47" s="3">
        <v>4</v>
      </c>
      <c r="G47" s="9">
        <v>294.19</v>
      </c>
      <c r="H47" s="9">
        <v>34.94</v>
      </c>
      <c r="I47" s="22">
        <f t="shared" si="0"/>
        <v>0.59220338983050846</v>
      </c>
      <c r="J47" s="22" t="str">
        <f t="shared" si="1"/>
        <v>Medium</v>
      </c>
      <c r="K47" s="24">
        <f t="shared" si="2"/>
        <v>73.547499999999999</v>
      </c>
      <c r="L47" s="27" t="str">
        <f t="shared" si="3"/>
        <v>Low</v>
      </c>
    </row>
    <row r="48" spans="1:12" x14ac:dyDescent="0.2">
      <c r="A48" s="3" t="s">
        <v>53</v>
      </c>
      <c r="B48" s="3" t="s">
        <v>237</v>
      </c>
      <c r="C48" s="3" t="s">
        <v>383</v>
      </c>
      <c r="D48" s="4">
        <v>42370</v>
      </c>
      <c r="E48" s="3">
        <v>58</v>
      </c>
      <c r="F48" s="3">
        <v>3</v>
      </c>
      <c r="G48" s="9">
        <v>277</v>
      </c>
      <c r="H48" s="9">
        <v>45.85</v>
      </c>
      <c r="I48" s="22">
        <f t="shared" si="0"/>
        <v>0.79051724137931034</v>
      </c>
      <c r="J48" s="22" t="str">
        <f t="shared" si="1"/>
        <v>Medium</v>
      </c>
      <c r="K48" s="24">
        <f t="shared" si="2"/>
        <v>92.333333333333329</v>
      </c>
      <c r="L48" s="27" t="str">
        <f t="shared" si="3"/>
        <v>Medium</v>
      </c>
    </row>
    <row r="49" spans="1:12" x14ac:dyDescent="0.2">
      <c r="A49" s="3" t="s">
        <v>54</v>
      </c>
      <c r="B49" s="3" t="s">
        <v>385</v>
      </c>
      <c r="C49" s="3" t="s">
        <v>364</v>
      </c>
      <c r="D49" s="4">
        <v>42401</v>
      </c>
      <c r="E49" s="3">
        <v>175</v>
      </c>
      <c r="F49" s="3">
        <v>5</v>
      </c>
      <c r="G49" s="9">
        <v>268</v>
      </c>
      <c r="H49" s="9">
        <v>498.68</v>
      </c>
      <c r="I49" s="22">
        <f t="shared" si="0"/>
        <v>2.8496000000000001</v>
      </c>
      <c r="J49" s="22" t="str">
        <f t="shared" si="1"/>
        <v>High</v>
      </c>
      <c r="K49" s="24">
        <f t="shared" si="2"/>
        <v>53.6</v>
      </c>
      <c r="L49" s="27" t="str">
        <f t="shared" si="3"/>
        <v>Low</v>
      </c>
    </row>
    <row r="50" spans="1:12" x14ac:dyDescent="0.2">
      <c r="A50" s="3" t="s">
        <v>55</v>
      </c>
      <c r="B50" s="3" t="s">
        <v>386</v>
      </c>
      <c r="C50" s="3" t="s">
        <v>313</v>
      </c>
      <c r="D50" s="4">
        <v>42370</v>
      </c>
      <c r="E50" s="3">
        <v>52</v>
      </c>
      <c r="F50" s="3">
        <v>4</v>
      </c>
      <c r="G50" s="9">
        <v>267</v>
      </c>
      <c r="H50" s="9">
        <v>66.62</v>
      </c>
      <c r="I50" s="22">
        <f t="shared" si="0"/>
        <v>1.2811538461538463</v>
      </c>
      <c r="J50" s="22" t="str">
        <f t="shared" si="1"/>
        <v>Medium</v>
      </c>
      <c r="K50" s="24">
        <f t="shared" si="2"/>
        <v>66.75</v>
      </c>
      <c r="L50" s="27" t="str">
        <f t="shared" si="3"/>
        <v>Low</v>
      </c>
    </row>
    <row r="51" spans="1:12" x14ac:dyDescent="0.2">
      <c r="A51" s="3" t="s">
        <v>56</v>
      </c>
      <c r="B51" s="3" t="s">
        <v>237</v>
      </c>
      <c r="C51" s="3" t="s">
        <v>313</v>
      </c>
      <c r="D51" s="4">
        <v>42401</v>
      </c>
      <c r="E51" s="3">
        <v>13</v>
      </c>
      <c r="F51" s="3">
        <v>1</v>
      </c>
      <c r="G51" s="9">
        <v>262.5</v>
      </c>
      <c r="H51" s="9">
        <v>8.34</v>
      </c>
      <c r="I51" s="22">
        <f t="shared" si="0"/>
        <v>0.6415384615384615</v>
      </c>
      <c r="J51" s="22" t="str">
        <f t="shared" si="1"/>
        <v>Medium</v>
      </c>
      <c r="K51" s="24">
        <f t="shared" si="2"/>
        <v>262.5</v>
      </c>
      <c r="L51" s="27" t="str">
        <f t="shared" si="3"/>
        <v>High</v>
      </c>
    </row>
    <row r="52" spans="1:12" x14ac:dyDescent="0.2">
      <c r="A52" s="3" t="s">
        <v>57</v>
      </c>
      <c r="B52" s="3" t="s">
        <v>237</v>
      </c>
      <c r="C52" s="3" t="s">
        <v>340</v>
      </c>
      <c r="D52" s="4">
        <v>42370</v>
      </c>
      <c r="E52" s="3">
        <v>4</v>
      </c>
      <c r="F52" s="3">
        <v>1</v>
      </c>
      <c r="G52" s="9">
        <v>262</v>
      </c>
      <c r="H52" s="9">
        <v>6.94</v>
      </c>
      <c r="I52" s="22">
        <f t="shared" si="0"/>
        <v>1.7350000000000001</v>
      </c>
      <c r="J52" s="22" t="str">
        <f t="shared" si="1"/>
        <v>High</v>
      </c>
      <c r="K52" s="24">
        <f t="shared" si="2"/>
        <v>262</v>
      </c>
      <c r="L52" s="27" t="str">
        <f t="shared" si="3"/>
        <v>High</v>
      </c>
    </row>
    <row r="53" spans="1:12" x14ac:dyDescent="0.2">
      <c r="A53" s="3" t="s">
        <v>58</v>
      </c>
      <c r="B53" s="3" t="s">
        <v>386</v>
      </c>
      <c r="C53" s="3" t="s">
        <v>384</v>
      </c>
      <c r="D53" s="4">
        <v>42370</v>
      </c>
      <c r="E53" s="3">
        <v>141</v>
      </c>
      <c r="F53" s="3">
        <v>4</v>
      </c>
      <c r="G53" s="9">
        <v>261.7</v>
      </c>
      <c r="H53" s="9">
        <v>119.81</v>
      </c>
      <c r="I53" s="22">
        <f t="shared" si="0"/>
        <v>0.84971631205673759</v>
      </c>
      <c r="J53" s="22" t="str">
        <f t="shared" si="1"/>
        <v>Medium</v>
      </c>
      <c r="K53" s="24">
        <f t="shared" si="2"/>
        <v>65.424999999999997</v>
      </c>
      <c r="L53" s="27" t="str">
        <f t="shared" si="3"/>
        <v>Low</v>
      </c>
    </row>
    <row r="54" spans="1:12" x14ac:dyDescent="0.2">
      <c r="A54" s="3" t="s">
        <v>59</v>
      </c>
      <c r="B54" s="3" t="s">
        <v>386</v>
      </c>
      <c r="C54" s="3" t="s">
        <v>384</v>
      </c>
      <c r="D54" s="4">
        <v>42401</v>
      </c>
      <c r="E54" s="3">
        <v>65</v>
      </c>
      <c r="F54" s="3">
        <v>1</v>
      </c>
      <c r="G54" s="9">
        <v>260.91000000000003</v>
      </c>
      <c r="H54" s="9">
        <v>38.94</v>
      </c>
      <c r="I54" s="22">
        <f t="shared" si="0"/>
        <v>0.59907692307692306</v>
      </c>
      <c r="J54" s="22" t="str">
        <f t="shared" si="1"/>
        <v>Medium</v>
      </c>
      <c r="K54" s="24">
        <f t="shared" si="2"/>
        <v>260.91000000000003</v>
      </c>
      <c r="L54" s="27" t="str">
        <f t="shared" si="3"/>
        <v>High</v>
      </c>
    </row>
    <row r="55" spans="1:12" x14ac:dyDescent="0.2">
      <c r="A55" s="3" t="s">
        <v>60</v>
      </c>
      <c r="B55" s="3" t="s">
        <v>386</v>
      </c>
      <c r="C55" s="3" t="s">
        <v>313</v>
      </c>
      <c r="D55" s="4">
        <v>42401</v>
      </c>
      <c r="E55" s="3">
        <v>13</v>
      </c>
      <c r="F55" s="3">
        <v>1</v>
      </c>
      <c r="G55" s="9">
        <v>260</v>
      </c>
      <c r="H55" s="9">
        <v>22.6</v>
      </c>
      <c r="I55" s="22">
        <f t="shared" si="0"/>
        <v>1.7384615384615385</v>
      </c>
      <c r="J55" s="22" t="str">
        <f t="shared" si="1"/>
        <v>High</v>
      </c>
      <c r="K55" s="24">
        <f t="shared" si="2"/>
        <v>260</v>
      </c>
      <c r="L55" s="27" t="str">
        <f t="shared" si="3"/>
        <v>High</v>
      </c>
    </row>
    <row r="56" spans="1:12" x14ac:dyDescent="0.2">
      <c r="A56" s="3" t="s">
        <v>61</v>
      </c>
      <c r="B56" s="3" t="s">
        <v>385</v>
      </c>
      <c r="C56" s="3" t="s">
        <v>383</v>
      </c>
      <c r="D56" s="4">
        <v>42401</v>
      </c>
      <c r="E56" s="3">
        <v>44</v>
      </c>
      <c r="F56" s="3">
        <v>5</v>
      </c>
      <c r="G56" s="9">
        <v>259.5</v>
      </c>
      <c r="H56" s="9">
        <v>91.19</v>
      </c>
      <c r="I56" s="22">
        <f t="shared" si="0"/>
        <v>2.0724999999999998</v>
      </c>
      <c r="J56" s="22" t="str">
        <f t="shared" si="1"/>
        <v>High</v>
      </c>
      <c r="K56" s="24">
        <f t="shared" si="2"/>
        <v>51.9</v>
      </c>
      <c r="L56" s="27" t="str">
        <f t="shared" si="3"/>
        <v>Low</v>
      </c>
    </row>
    <row r="57" spans="1:12" x14ac:dyDescent="0.2">
      <c r="A57" s="3" t="s">
        <v>62</v>
      </c>
      <c r="B57" s="3" t="s">
        <v>237</v>
      </c>
      <c r="C57" s="3" t="s">
        <v>313</v>
      </c>
      <c r="D57" s="4">
        <v>42401</v>
      </c>
      <c r="E57" s="3">
        <v>87</v>
      </c>
      <c r="F57" s="3">
        <v>1</v>
      </c>
      <c r="G57" s="9">
        <v>259</v>
      </c>
      <c r="H57" s="9">
        <v>63.28</v>
      </c>
      <c r="I57" s="22">
        <f t="shared" si="0"/>
        <v>0.7273563218390805</v>
      </c>
      <c r="J57" s="22" t="str">
        <f t="shared" si="1"/>
        <v>Medium</v>
      </c>
      <c r="K57" s="24">
        <f t="shared" si="2"/>
        <v>259</v>
      </c>
      <c r="L57" s="27" t="str">
        <f t="shared" si="3"/>
        <v>High</v>
      </c>
    </row>
    <row r="58" spans="1:12" x14ac:dyDescent="0.2">
      <c r="A58" s="3" t="s">
        <v>63</v>
      </c>
      <c r="B58" s="3" t="s">
        <v>237</v>
      </c>
      <c r="C58" s="3" t="s">
        <v>387</v>
      </c>
      <c r="D58" s="4">
        <v>42430</v>
      </c>
      <c r="E58" s="3">
        <v>125</v>
      </c>
      <c r="F58" s="3">
        <v>1</v>
      </c>
      <c r="G58" s="9">
        <v>258</v>
      </c>
      <c r="H58" s="9">
        <v>135.78</v>
      </c>
      <c r="I58" s="22">
        <f t="shared" si="0"/>
        <v>1.0862400000000001</v>
      </c>
      <c r="J58" s="22" t="str">
        <f t="shared" si="1"/>
        <v>Medium</v>
      </c>
      <c r="K58" s="24">
        <f t="shared" si="2"/>
        <v>258</v>
      </c>
      <c r="L58" s="27" t="str">
        <f t="shared" si="3"/>
        <v>High</v>
      </c>
    </row>
    <row r="59" spans="1:12" x14ac:dyDescent="0.2">
      <c r="A59" s="3" t="s">
        <v>64</v>
      </c>
      <c r="B59" s="3" t="s">
        <v>237</v>
      </c>
      <c r="C59" s="3" t="s">
        <v>340</v>
      </c>
      <c r="D59" s="4">
        <v>42430</v>
      </c>
      <c r="E59" s="3">
        <v>7</v>
      </c>
      <c r="F59" s="3">
        <v>1</v>
      </c>
      <c r="G59" s="9">
        <v>250</v>
      </c>
      <c r="H59" s="9">
        <v>13.11</v>
      </c>
      <c r="I59" s="22">
        <f t="shared" si="0"/>
        <v>1.8728571428571428</v>
      </c>
      <c r="J59" s="22" t="str">
        <f t="shared" si="1"/>
        <v>High</v>
      </c>
      <c r="K59" s="24">
        <f t="shared" si="2"/>
        <v>250</v>
      </c>
      <c r="L59" s="27" t="str">
        <f t="shared" si="3"/>
        <v>High</v>
      </c>
    </row>
    <row r="60" spans="1:12" x14ac:dyDescent="0.2">
      <c r="A60" s="3" t="s">
        <v>65</v>
      </c>
      <c r="B60" s="3" t="s">
        <v>386</v>
      </c>
      <c r="C60" s="3" t="s">
        <v>384</v>
      </c>
      <c r="D60" s="4">
        <v>42401</v>
      </c>
      <c r="E60" s="3">
        <v>83</v>
      </c>
      <c r="F60" s="3">
        <v>3</v>
      </c>
      <c r="G60" s="9">
        <v>247</v>
      </c>
      <c r="H60" s="9">
        <v>47.26</v>
      </c>
      <c r="I60" s="22">
        <f t="shared" si="0"/>
        <v>0.56939759036144577</v>
      </c>
      <c r="J60" s="22" t="str">
        <f t="shared" si="1"/>
        <v>Medium</v>
      </c>
      <c r="K60" s="24">
        <f t="shared" si="2"/>
        <v>82.333333333333329</v>
      </c>
      <c r="L60" s="27" t="str">
        <f t="shared" si="3"/>
        <v>Medium</v>
      </c>
    </row>
    <row r="61" spans="1:12" x14ac:dyDescent="0.2">
      <c r="A61" s="3" t="s">
        <v>66</v>
      </c>
      <c r="B61" s="3" t="s">
        <v>386</v>
      </c>
      <c r="C61" s="3" t="s">
        <v>384</v>
      </c>
      <c r="D61" s="4">
        <v>42370</v>
      </c>
      <c r="E61" s="3">
        <v>53</v>
      </c>
      <c r="F61" s="3">
        <v>3</v>
      </c>
      <c r="G61" s="9">
        <v>242.5</v>
      </c>
      <c r="H61" s="9">
        <v>70.66</v>
      </c>
      <c r="I61" s="22">
        <f t="shared" si="0"/>
        <v>1.3332075471698113</v>
      </c>
      <c r="J61" s="22" t="str">
        <f t="shared" si="1"/>
        <v>Medium</v>
      </c>
      <c r="K61" s="24">
        <f t="shared" si="2"/>
        <v>80.833333333333329</v>
      </c>
      <c r="L61" s="27" t="str">
        <f t="shared" si="3"/>
        <v>Medium</v>
      </c>
    </row>
    <row r="62" spans="1:12" x14ac:dyDescent="0.2">
      <c r="A62" s="3" t="s">
        <v>67</v>
      </c>
      <c r="B62" s="3" t="s">
        <v>386</v>
      </c>
      <c r="C62" s="3" t="s">
        <v>384</v>
      </c>
      <c r="D62" s="4">
        <v>42370</v>
      </c>
      <c r="E62" s="3">
        <v>40</v>
      </c>
      <c r="F62" s="3">
        <v>4</v>
      </c>
      <c r="G62" s="9">
        <v>238</v>
      </c>
      <c r="H62" s="9">
        <v>71.599999999999994</v>
      </c>
      <c r="I62" s="22">
        <f t="shared" si="0"/>
        <v>1.7899999999999998</v>
      </c>
      <c r="J62" s="22" t="str">
        <f t="shared" si="1"/>
        <v>High</v>
      </c>
      <c r="K62" s="24">
        <f t="shared" si="2"/>
        <v>59.5</v>
      </c>
      <c r="L62" s="27" t="str">
        <f t="shared" si="3"/>
        <v>Low</v>
      </c>
    </row>
    <row r="63" spans="1:12" x14ac:dyDescent="0.2">
      <c r="A63" s="3" t="s">
        <v>68</v>
      </c>
      <c r="B63" s="3" t="s">
        <v>22</v>
      </c>
      <c r="C63" s="3" t="s">
        <v>313</v>
      </c>
      <c r="D63" s="4">
        <v>42370</v>
      </c>
      <c r="E63" s="3">
        <v>13</v>
      </c>
      <c r="F63" s="3">
        <v>1</v>
      </c>
      <c r="G63" s="9">
        <v>237</v>
      </c>
      <c r="H63" s="9">
        <v>6.2</v>
      </c>
      <c r="I63" s="22">
        <f t="shared" si="0"/>
        <v>0.47692307692307695</v>
      </c>
      <c r="J63" s="22" t="str">
        <f t="shared" si="1"/>
        <v>Low</v>
      </c>
      <c r="K63" s="24">
        <f t="shared" si="2"/>
        <v>237</v>
      </c>
      <c r="L63" s="27" t="str">
        <f t="shared" si="3"/>
        <v>High</v>
      </c>
    </row>
    <row r="64" spans="1:12" x14ac:dyDescent="0.2">
      <c r="A64" s="3" t="s">
        <v>70</v>
      </c>
      <c r="B64" s="3" t="s">
        <v>22</v>
      </c>
      <c r="C64" s="3" t="s">
        <v>313</v>
      </c>
      <c r="D64" s="4">
        <v>42370</v>
      </c>
      <c r="E64" s="3">
        <v>116</v>
      </c>
      <c r="F64" s="3">
        <v>2</v>
      </c>
      <c r="G64" s="9">
        <v>228</v>
      </c>
      <c r="H64" s="9">
        <v>128.56</v>
      </c>
      <c r="I64" s="22">
        <f t="shared" si="0"/>
        <v>1.1082758620689654</v>
      </c>
      <c r="J64" s="22" t="str">
        <f t="shared" si="1"/>
        <v>Medium</v>
      </c>
      <c r="K64" s="24">
        <f t="shared" si="2"/>
        <v>114</v>
      </c>
      <c r="L64" s="27" t="str">
        <f t="shared" si="3"/>
        <v>Medium</v>
      </c>
    </row>
    <row r="65" spans="1:12" x14ac:dyDescent="0.2">
      <c r="A65" s="3" t="s">
        <v>71</v>
      </c>
      <c r="B65" s="3" t="s">
        <v>237</v>
      </c>
      <c r="C65" s="3" t="s">
        <v>313</v>
      </c>
      <c r="D65" s="4">
        <v>42401</v>
      </c>
      <c r="E65" s="3">
        <v>79</v>
      </c>
      <c r="F65" s="3">
        <v>3</v>
      </c>
      <c r="G65" s="9">
        <v>223.5</v>
      </c>
      <c r="H65" s="9">
        <v>48.42</v>
      </c>
      <c r="I65" s="22">
        <f t="shared" si="0"/>
        <v>0.61291139240506332</v>
      </c>
      <c r="J65" s="22" t="str">
        <f t="shared" si="1"/>
        <v>Medium</v>
      </c>
      <c r="K65" s="24">
        <f t="shared" si="2"/>
        <v>74.5</v>
      </c>
      <c r="L65" s="27" t="str">
        <f t="shared" si="3"/>
        <v>Low</v>
      </c>
    </row>
    <row r="66" spans="1:12" x14ac:dyDescent="0.2">
      <c r="A66" s="3" t="s">
        <v>72</v>
      </c>
      <c r="B66" s="3" t="s">
        <v>386</v>
      </c>
      <c r="C66" s="3" t="s">
        <v>341</v>
      </c>
      <c r="D66" s="4">
        <v>42430</v>
      </c>
      <c r="E66" s="3">
        <v>119</v>
      </c>
      <c r="F66" s="3">
        <v>6</v>
      </c>
      <c r="G66" s="9">
        <v>220.31</v>
      </c>
      <c r="H66" s="9">
        <v>202.28</v>
      </c>
      <c r="I66" s="22">
        <f t="shared" si="0"/>
        <v>1.6998319327731093</v>
      </c>
      <c r="J66" s="22" t="str">
        <f t="shared" si="1"/>
        <v>High</v>
      </c>
      <c r="K66" s="24">
        <f t="shared" si="2"/>
        <v>36.718333333333334</v>
      </c>
      <c r="L66" s="27" t="str">
        <f t="shared" si="3"/>
        <v>Low</v>
      </c>
    </row>
    <row r="67" spans="1:12" x14ac:dyDescent="0.2">
      <c r="A67" s="3" t="s">
        <v>73</v>
      </c>
      <c r="B67" s="3" t="s">
        <v>386</v>
      </c>
      <c r="C67" s="3" t="s">
        <v>387</v>
      </c>
      <c r="D67" s="4">
        <v>42430</v>
      </c>
      <c r="E67" s="3">
        <v>106</v>
      </c>
      <c r="F67" s="3">
        <v>3</v>
      </c>
      <c r="G67" s="9">
        <v>212.4</v>
      </c>
      <c r="H67" s="9">
        <v>67.88</v>
      </c>
      <c r="I67" s="22">
        <f t="shared" ref="I67:I130" si="4">IF(E67&gt;0,H67/E67,"")</f>
        <v>0.64037735849056598</v>
      </c>
      <c r="J67" s="22" t="str">
        <f t="shared" ref="J67:J130" si="5">IF(ISNUMBER(I67),IF(I67&lt;=0.5,"Low",IF(I67&lt;=1.5,"Medium","High")),"Untested")</f>
        <v>Medium</v>
      </c>
      <c r="K67" s="24">
        <f t="shared" ref="K67:K130" si="6">IF(G67&gt;0,G67/F67,"")</f>
        <v>70.8</v>
      </c>
      <c r="L67" s="27" t="str">
        <f t="shared" ref="L67:L130" si="7">IF(ISNUMBER(K67),IF(K67&lt;=75,"Low",IF(K67&lt;=200,"Medium","High")),"Untested")</f>
        <v>Low</v>
      </c>
    </row>
    <row r="68" spans="1:12" x14ac:dyDescent="0.2">
      <c r="A68" s="3" t="s">
        <v>74</v>
      </c>
      <c r="B68" s="3" t="s">
        <v>386</v>
      </c>
      <c r="C68" s="3" t="s">
        <v>341</v>
      </c>
      <c r="D68" s="4">
        <v>42370</v>
      </c>
      <c r="E68" s="3">
        <v>126</v>
      </c>
      <c r="F68" s="3">
        <v>3</v>
      </c>
      <c r="G68" s="9">
        <v>211.5</v>
      </c>
      <c r="H68" s="9">
        <v>145.68</v>
      </c>
      <c r="I68" s="22">
        <f t="shared" si="4"/>
        <v>1.1561904761904762</v>
      </c>
      <c r="J68" s="22" t="str">
        <f t="shared" si="5"/>
        <v>Medium</v>
      </c>
      <c r="K68" s="24">
        <f t="shared" si="6"/>
        <v>70.5</v>
      </c>
      <c r="L68" s="27" t="str">
        <f t="shared" si="7"/>
        <v>Low</v>
      </c>
    </row>
    <row r="69" spans="1:12" x14ac:dyDescent="0.2">
      <c r="A69" s="3" t="s">
        <v>75</v>
      </c>
      <c r="B69" s="3" t="s">
        <v>386</v>
      </c>
      <c r="C69" s="3" t="s">
        <v>341</v>
      </c>
      <c r="D69" s="4">
        <v>42401</v>
      </c>
      <c r="E69" s="3">
        <v>108</v>
      </c>
      <c r="F69" s="3">
        <v>3</v>
      </c>
      <c r="G69" s="9">
        <v>205.58</v>
      </c>
      <c r="H69" s="9">
        <v>153.66</v>
      </c>
      <c r="I69" s="22">
        <f t="shared" si="4"/>
        <v>1.4227777777777777</v>
      </c>
      <c r="J69" s="22" t="str">
        <f t="shared" si="5"/>
        <v>Medium</v>
      </c>
      <c r="K69" s="24">
        <f t="shared" si="6"/>
        <v>68.526666666666671</v>
      </c>
      <c r="L69" s="27" t="str">
        <f t="shared" si="7"/>
        <v>Low</v>
      </c>
    </row>
    <row r="70" spans="1:12" x14ac:dyDescent="0.2">
      <c r="A70" s="3" t="s">
        <v>76</v>
      </c>
      <c r="B70" s="3" t="s">
        <v>386</v>
      </c>
      <c r="C70" s="3" t="s">
        <v>341</v>
      </c>
      <c r="D70" s="4">
        <v>42430</v>
      </c>
      <c r="E70" s="3">
        <v>99</v>
      </c>
      <c r="F70" s="3">
        <v>2</v>
      </c>
      <c r="G70" s="9">
        <v>203.98</v>
      </c>
      <c r="H70" s="9">
        <v>140.97999999999999</v>
      </c>
      <c r="I70" s="22">
        <f t="shared" si="4"/>
        <v>1.424040404040404</v>
      </c>
      <c r="J70" s="22" t="str">
        <f t="shared" si="5"/>
        <v>Medium</v>
      </c>
      <c r="K70" s="24">
        <f t="shared" si="6"/>
        <v>101.99</v>
      </c>
      <c r="L70" s="27" t="str">
        <f t="shared" si="7"/>
        <v>Medium</v>
      </c>
    </row>
    <row r="71" spans="1:12" x14ac:dyDescent="0.2">
      <c r="A71" s="3" t="s">
        <v>5</v>
      </c>
      <c r="B71" s="3" t="s">
        <v>385</v>
      </c>
      <c r="C71" s="3" t="s">
        <v>383</v>
      </c>
      <c r="D71" s="4">
        <v>42430</v>
      </c>
      <c r="E71" s="3">
        <v>11</v>
      </c>
      <c r="F71" s="3">
        <v>1</v>
      </c>
      <c r="G71" s="9">
        <v>203.6</v>
      </c>
      <c r="H71" s="9">
        <v>28.09</v>
      </c>
      <c r="I71" s="22">
        <f t="shared" si="4"/>
        <v>2.5536363636363637</v>
      </c>
      <c r="J71" s="22" t="str">
        <f t="shared" si="5"/>
        <v>High</v>
      </c>
      <c r="K71" s="24">
        <f t="shared" si="6"/>
        <v>203.6</v>
      </c>
      <c r="L71" s="27" t="str">
        <f t="shared" si="7"/>
        <v>High</v>
      </c>
    </row>
    <row r="72" spans="1:12" x14ac:dyDescent="0.2">
      <c r="A72" s="3" t="s">
        <v>77</v>
      </c>
      <c r="B72" s="3" t="s">
        <v>386</v>
      </c>
      <c r="C72" s="3" t="s">
        <v>313</v>
      </c>
      <c r="D72" s="4">
        <v>42401</v>
      </c>
      <c r="E72" s="3">
        <v>31</v>
      </c>
      <c r="F72" s="3">
        <v>2</v>
      </c>
      <c r="G72" s="9">
        <v>195</v>
      </c>
      <c r="H72" s="9">
        <v>23.66</v>
      </c>
      <c r="I72" s="22">
        <f t="shared" si="4"/>
        <v>0.76322580645161286</v>
      </c>
      <c r="J72" s="22" t="str">
        <f t="shared" si="5"/>
        <v>Medium</v>
      </c>
      <c r="K72" s="24">
        <f t="shared" si="6"/>
        <v>97.5</v>
      </c>
      <c r="L72" s="27" t="str">
        <f t="shared" si="7"/>
        <v>Medium</v>
      </c>
    </row>
    <row r="73" spans="1:12" x14ac:dyDescent="0.2">
      <c r="A73" s="3" t="s">
        <v>78</v>
      </c>
      <c r="B73" s="3" t="s">
        <v>386</v>
      </c>
      <c r="C73" s="3" t="s">
        <v>313</v>
      </c>
      <c r="D73" s="4">
        <v>42430</v>
      </c>
      <c r="E73" s="3">
        <v>51</v>
      </c>
      <c r="F73" s="3">
        <v>1</v>
      </c>
      <c r="G73" s="9">
        <v>188</v>
      </c>
      <c r="H73" s="9">
        <v>55.19</v>
      </c>
      <c r="I73" s="22">
        <f t="shared" si="4"/>
        <v>1.0821568627450979</v>
      </c>
      <c r="J73" s="22" t="str">
        <f t="shared" si="5"/>
        <v>Medium</v>
      </c>
      <c r="K73" s="24">
        <f t="shared" si="6"/>
        <v>188</v>
      </c>
      <c r="L73" s="27" t="str">
        <f t="shared" si="7"/>
        <v>Medium</v>
      </c>
    </row>
    <row r="74" spans="1:12" x14ac:dyDescent="0.2">
      <c r="A74" s="3" t="s">
        <v>79</v>
      </c>
      <c r="B74" s="3" t="s">
        <v>22</v>
      </c>
      <c r="C74" s="3" t="s">
        <v>383</v>
      </c>
      <c r="D74" s="4">
        <v>42370</v>
      </c>
      <c r="E74" s="3">
        <v>41</v>
      </c>
      <c r="F74" s="3">
        <v>1</v>
      </c>
      <c r="G74" s="9">
        <v>183</v>
      </c>
      <c r="H74" s="9">
        <v>39.020000000000003</v>
      </c>
      <c r="I74" s="22">
        <f t="shared" si="4"/>
        <v>0.9517073170731708</v>
      </c>
      <c r="J74" s="22" t="str">
        <f t="shared" si="5"/>
        <v>Medium</v>
      </c>
      <c r="K74" s="24">
        <f t="shared" si="6"/>
        <v>183</v>
      </c>
      <c r="L74" s="27" t="str">
        <f t="shared" si="7"/>
        <v>Medium</v>
      </c>
    </row>
    <row r="75" spans="1:12" x14ac:dyDescent="0.2">
      <c r="A75" s="3" t="s">
        <v>80</v>
      </c>
      <c r="B75" s="3" t="s">
        <v>386</v>
      </c>
      <c r="C75" s="3" t="s">
        <v>341</v>
      </c>
      <c r="D75" s="4">
        <v>42370</v>
      </c>
      <c r="E75" s="3">
        <v>38</v>
      </c>
      <c r="F75" s="3">
        <v>2</v>
      </c>
      <c r="G75" s="9">
        <v>176.99</v>
      </c>
      <c r="H75" s="9">
        <v>35.28</v>
      </c>
      <c r="I75" s="22">
        <f t="shared" si="4"/>
        <v>0.92842105263157892</v>
      </c>
      <c r="J75" s="22" t="str">
        <f t="shared" si="5"/>
        <v>Medium</v>
      </c>
      <c r="K75" s="24">
        <f t="shared" si="6"/>
        <v>88.495000000000005</v>
      </c>
      <c r="L75" s="27" t="str">
        <f t="shared" si="7"/>
        <v>Medium</v>
      </c>
    </row>
    <row r="76" spans="1:12" x14ac:dyDescent="0.2">
      <c r="A76" s="3" t="s">
        <v>81</v>
      </c>
      <c r="B76" s="3" t="s">
        <v>237</v>
      </c>
      <c r="C76" s="3" t="s">
        <v>313</v>
      </c>
      <c r="D76" s="4">
        <v>42370</v>
      </c>
      <c r="E76" s="3">
        <v>44</v>
      </c>
      <c r="F76" s="3">
        <v>1</v>
      </c>
      <c r="G76" s="9">
        <v>170</v>
      </c>
      <c r="H76" s="9">
        <v>72.790000000000006</v>
      </c>
      <c r="I76" s="22">
        <f t="shared" si="4"/>
        <v>1.654318181818182</v>
      </c>
      <c r="J76" s="22" t="str">
        <f t="shared" si="5"/>
        <v>High</v>
      </c>
      <c r="K76" s="24">
        <f t="shared" si="6"/>
        <v>170</v>
      </c>
      <c r="L76" s="27" t="str">
        <f t="shared" si="7"/>
        <v>Medium</v>
      </c>
    </row>
    <row r="77" spans="1:12" x14ac:dyDescent="0.2">
      <c r="A77" s="3" t="s">
        <v>82</v>
      </c>
      <c r="B77" s="3" t="s">
        <v>386</v>
      </c>
      <c r="C77" s="3" t="s">
        <v>341</v>
      </c>
      <c r="D77" s="4">
        <v>42370</v>
      </c>
      <c r="E77" s="3">
        <v>16</v>
      </c>
      <c r="F77" s="3">
        <v>1</v>
      </c>
      <c r="G77" s="9">
        <v>162.9</v>
      </c>
      <c r="H77" s="9">
        <v>4.74</v>
      </c>
      <c r="I77" s="22">
        <f t="shared" si="4"/>
        <v>0.29625000000000001</v>
      </c>
      <c r="J77" s="22" t="str">
        <f t="shared" si="5"/>
        <v>Low</v>
      </c>
      <c r="K77" s="24">
        <f t="shared" si="6"/>
        <v>162.9</v>
      </c>
      <c r="L77" s="27" t="str">
        <f t="shared" si="7"/>
        <v>Medium</v>
      </c>
    </row>
    <row r="78" spans="1:12" x14ac:dyDescent="0.2">
      <c r="A78" s="3" t="s">
        <v>83</v>
      </c>
      <c r="B78" s="3" t="s">
        <v>237</v>
      </c>
      <c r="C78" s="3" t="s">
        <v>313</v>
      </c>
      <c r="D78" s="4">
        <v>42430</v>
      </c>
      <c r="E78" s="3">
        <v>57</v>
      </c>
      <c r="F78" s="3">
        <v>1</v>
      </c>
      <c r="G78" s="9">
        <v>162</v>
      </c>
      <c r="H78" s="9">
        <v>37.53</v>
      </c>
      <c r="I78" s="22">
        <f t="shared" si="4"/>
        <v>0.65842105263157902</v>
      </c>
      <c r="J78" s="22" t="str">
        <f t="shared" si="5"/>
        <v>Medium</v>
      </c>
      <c r="K78" s="24">
        <f t="shared" si="6"/>
        <v>162</v>
      </c>
      <c r="L78" s="27" t="str">
        <f t="shared" si="7"/>
        <v>Medium</v>
      </c>
    </row>
    <row r="79" spans="1:12" x14ac:dyDescent="0.2">
      <c r="A79" s="3" t="s">
        <v>84</v>
      </c>
      <c r="B79" s="3" t="s">
        <v>386</v>
      </c>
      <c r="C79" s="3" t="s">
        <v>341</v>
      </c>
      <c r="D79" s="4">
        <v>42370</v>
      </c>
      <c r="E79" s="3">
        <v>97</v>
      </c>
      <c r="F79" s="3">
        <v>4</v>
      </c>
      <c r="G79" s="9">
        <v>160.6</v>
      </c>
      <c r="H79" s="9">
        <v>111.2</v>
      </c>
      <c r="I79" s="22">
        <f t="shared" si="4"/>
        <v>1.1463917525773195</v>
      </c>
      <c r="J79" s="22" t="str">
        <f t="shared" si="5"/>
        <v>Medium</v>
      </c>
      <c r="K79" s="24">
        <f t="shared" si="6"/>
        <v>40.15</v>
      </c>
      <c r="L79" s="27" t="str">
        <f t="shared" si="7"/>
        <v>Low</v>
      </c>
    </row>
    <row r="80" spans="1:12" x14ac:dyDescent="0.2">
      <c r="A80" s="3" t="s">
        <v>85</v>
      </c>
      <c r="B80" s="3" t="s">
        <v>22</v>
      </c>
      <c r="C80" s="3" t="s">
        <v>313</v>
      </c>
      <c r="D80" s="4">
        <v>42430</v>
      </c>
      <c r="E80" s="3">
        <v>30</v>
      </c>
      <c r="F80" s="3">
        <v>1</v>
      </c>
      <c r="G80" s="9">
        <v>157</v>
      </c>
      <c r="H80" s="9">
        <v>24.3</v>
      </c>
      <c r="I80" s="22">
        <f t="shared" si="4"/>
        <v>0.81</v>
      </c>
      <c r="J80" s="22" t="str">
        <f t="shared" si="5"/>
        <v>Medium</v>
      </c>
      <c r="K80" s="24">
        <f t="shared" si="6"/>
        <v>157</v>
      </c>
      <c r="L80" s="27" t="str">
        <f t="shared" si="7"/>
        <v>Medium</v>
      </c>
    </row>
    <row r="81" spans="1:12" x14ac:dyDescent="0.2">
      <c r="A81" s="3" t="s">
        <v>86</v>
      </c>
      <c r="B81" s="3" t="s">
        <v>22</v>
      </c>
      <c r="C81" s="3" t="s">
        <v>383</v>
      </c>
      <c r="D81" s="4">
        <v>42401</v>
      </c>
      <c r="E81" s="3">
        <v>217</v>
      </c>
      <c r="F81" s="3">
        <v>5</v>
      </c>
      <c r="G81" s="9">
        <v>153.75</v>
      </c>
      <c r="H81" s="9">
        <v>127.02</v>
      </c>
      <c r="I81" s="22">
        <f t="shared" si="4"/>
        <v>0.58534562211981567</v>
      </c>
      <c r="J81" s="22" t="str">
        <f t="shared" si="5"/>
        <v>Medium</v>
      </c>
      <c r="K81" s="24">
        <f t="shared" si="6"/>
        <v>30.75</v>
      </c>
      <c r="L81" s="27" t="str">
        <f t="shared" si="7"/>
        <v>Low</v>
      </c>
    </row>
    <row r="82" spans="1:12" x14ac:dyDescent="0.2">
      <c r="A82" s="3" t="s">
        <v>88</v>
      </c>
      <c r="B82" s="3" t="s">
        <v>386</v>
      </c>
      <c r="C82" s="3" t="s">
        <v>313</v>
      </c>
      <c r="D82" s="4">
        <v>42370</v>
      </c>
      <c r="E82" s="3">
        <v>46</v>
      </c>
      <c r="F82" s="3">
        <v>1</v>
      </c>
      <c r="G82" s="9">
        <v>150</v>
      </c>
      <c r="H82" s="9">
        <v>10.73</v>
      </c>
      <c r="I82" s="22">
        <f t="shared" si="4"/>
        <v>0.23326086956521741</v>
      </c>
      <c r="J82" s="22" t="str">
        <f t="shared" si="5"/>
        <v>Low</v>
      </c>
      <c r="K82" s="24">
        <f t="shared" si="6"/>
        <v>150</v>
      </c>
      <c r="L82" s="27" t="str">
        <f t="shared" si="7"/>
        <v>Medium</v>
      </c>
    </row>
    <row r="83" spans="1:12" x14ac:dyDescent="0.2">
      <c r="A83" s="3" t="s">
        <v>87</v>
      </c>
      <c r="B83" s="3" t="s">
        <v>386</v>
      </c>
      <c r="C83" s="3" t="s">
        <v>313</v>
      </c>
      <c r="D83" s="4">
        <v>42401</v>
      </c>
      <c r="E83" s="3">
        <v>56</v>
      </c>
      <c r="F83" s="3">
        <v>2</v>
      </c>
      <c r="G83" s="9">
        <v>150</v>
      </c>
      <c r="H83" s="9">
        <v>34.76</v>
      </c>
      <c r="I83" s="22">
        <f t="shared" si="4"/>
        <v>0.62071428571428566</v>
      </c>
      <c r="J83" s="22" t="str">
        <f t="shared" si="5"/>
        <v>Medium</v>
      </c>
      <c r="K83" s="24">
        <f t="shared" si="6"/>
        <v>75</v>
      </c>
      <c r="L83" s="27" t="str">
        <f t="shared" si="7"/>
        <v>Low</v>
      </c>
    </row>
    <row r="84" spans="1:12" x14ac:dyDescent="0.2">
      <c r="A84" s="3" t="s">
        <v>89</v>
      </c>
      <c r="B84" s="3" t="s">
        <v>237</v>
      </c>
      <c r="C84" s="3" t="s">
        <v>313</v>
      </c>
      <c r="D84" s="4">
        <v>42401</v>
      </c>
      <c r="E84" s="3">
        <v>21</v>
      </c>
      <c r="F84" s="3">
        <v>2</v>
      </c>
      <c r="G84" s="9">
        <v>149.47</v>
      </c>
      <c r="H84" s="9">
        <v>44.45</v>
      </c>
      <c r="I84" s="22">
        <f t="shared" si="4"/>
        <v>2.1166666666666667</v>
      </c>
      <c r="J84" s="22" t="str">
        <f t="shared" si="5"/>
        <v>High</v>
      </c>
      <c r="K84" s="24">
        <f t="shared" si="6"/>
        <v>74.734999999999999</v>
      </c>
      <c r="L84" s="27" t="str">
        <f t="shared" si="7"/>
        <v>Low</v>
      </c>
    </row>
    <row r="85" spans="1:12" x14ac:dyDescent="0.2">
      <c r="A85" s="3" t="s">
        <v>90</v>
      </c>
      <c r="B85" s="3" t="s">
        <v>386</v>
      </c>
      <c r="C85" s="3" t="s">
        <v>313</v>
      </c>
      <c r="D85" s="4">
        <v>42430</v>
      </c>
      <c r="E85" s="3">
        <v>172</v>
      </c>
      <c r="F85" s="3">
        <v>2</v>
      </c>
      <c r="G85" s="9">
        <v>149</v>
      </c>
      <c r="H85" s="9">
        <v>180.74</v>
      </c>
      <c r="I85" s="22">
        <f t="shared" si="4"/>
        <v>1.0508139534883723</v>
      </c>
      <c r="J85" s="22" t="str">
        <f t="shared" si="5"/>
        <v>Medium</v>
      </c>
      <c r="K85" s="24">
        <f t="shared" si="6"/>
        <v>74.5</v>
      </c>
      <c r="L85" s="27" t="str">
        <f t="shared" si="7"/>
        <v>Low</v>
      </c>
    </row>
    <row r="86" spans="1:12" x14ac:dyDescent="0.2">
      <c r="A86" s="3" t="s">
        <v>91</v>
      </c>
      <c r="B86" s="3" t="s">
        <v>386</v>
      </c>
      <c r="C86" s="3" t="s">
        <v>341</v>
      </c>
      <c r="D86" s="4">
        <v>42430</v>
      </c>
      <c r="E86" s="3">
        <v>12</v>
      </c>
      <c r="F86" s="3">
        <v>2</v>
      </c>
      <c r="G86" s="9">
        <v>143.93</v>
      </c>
      <c r="H86" s="9">
        <v>11.96</v>
      </c>
      <c r="I86" s="22">
        <f t="shared" si="4"/>
        <v>0.9966666666666667</v>
      </c>
      <c r="J86" s="22" t="str">
        <f t="shared" si="5"/>
        <v>Medium</v>
      </c>
      <c r="K86" s="24">
        <f t="shared" si="6"/>
        <v>71.965000000000003</v>
      </c>
      <c r="L86" s="27" t="str">
        <f t="shared" si="7"/>
        <v>Low</v>
      </c>
    </row>
    <row r="87" spans="1:12" x14ac:dyDescent="0.2">
      <c r="A87" s="3" t="s">
        <v>92</v>
      </c>
      <c r="B87" s="3" t="s">
        <v>386</v>
      </c>
      <c r="C87" s="3" t="s">
        <v>340</v>
      </c>
      <c r="D87" s="4">
        <v>42430</v>
      </c>
      <c r="E87" s="3">
        <v>34</v>
      </c>
      <c r="F87" s="3">
        <v>1</v>
      </c>
      <c r="G87" s="9">
        <v>142</v>
      </c>
      <c r="H87" s="9">
        <v>63.82</v>
      </c>
      <c r="I87" s="22">
        <f t="shared" si="4"/>
        <v>1.8770588235294117</v>
      </c>
      <c r="J87" s="22" t="str">
        <f t="shared" si="5"/>
        <v>High</v>
      </c>
      <c r="K87" s="24">
        <f t="shared" si="6"/>
        <v>142</v>
      </c>
      <c r="L87" s="27" t="str">
        <f t="shared" si="7"/>
        <v>Medium</v>
      </c>
    </row>
    <row r="88" spans="1:12" x14ac:dyDescent="0.2">
      <c r="A88" s="3" t="s">
        <v>93</v>
      </c>
      <c r="B88" s="3" t="s">
        <v>386</v>
      </c>
      <c r="C88" s="3" t="s">
        <v>313</v>
      </c>
      <c r="D88" s="4">
        <v>42370</v>
      </c>
      <c r="E88" s="3">
        <v>25</v>
      </c>
      <c r="F88" s="3">
        <v>1</v>
      </c>
      <c r="G88" s="9">
        <v>139</v>
      </c>
      <c r="H88" s="9">
        <v>13.02</v>
      </c>
      <c r="I88" s="22">
        <f t="shared" si="4"/>
        <v>0.52079999999999993</v>
      </c>
      <c r="J88" s="22" t="str">
        <f t="shared" si="5"/>
        <v>Medium</v>
      </c>
      <c r="K88" s="24">
        <f t="shared" si="6"/>
        <v>139</v>
      </c>
      <c r="L88" s="27" t="str">
        <f t="shared" si="7"/>
        <v>Medium</v>
      </c>
    </row>
    <row r="89" spans="1:12" x14ac:dyDescent="0.2">
      <c r="A89" s="3" t="s">
        <v>94</v>
      </c>
      <c r="B89" s="3" t="s">
        <v>386</v>
      </c>
      <c r="C89" s="3" t="s">
        <v>341</v>
      </c>
      <c r="D89" s="4">
        <v>42430</v>
      </c>
      <c r="E89" s="3">
        <v>24</v>
      </c>
      <c r="F89" s="3">
        <v>1</v>
      </c>
      <c r="G89" s="9">
        <v>134</v>
      </c>
      <c r="H89" s="9">
        <v>48.28</v>
      </c>
      <c r="I89" s="22">
        <f t="shared" si="4"/>
        <v>2.0116666666666667</v>
      </c>
      <c r="J89" s="22" t="str">
        <f t="shared" si="5"/>
        <v>High</v>
      </c>
      <c r="K89" s="24">
        <f t="shared" si="6"/>
        <v>134</v>
      </c>
      <c r="L89" s="27" t="str">
        <f t="shared" si="7"/>
        <v>Medium</v>
      </c>
    </row>
    <row r="90" spans="1:12" x14ac:dyDescent="0.2">
      <c r="A90" s="3" t="s">
        <v>95</v>
      </c>
      <c r="B90" s="3" t="s">
        <v>22</v>
      </c>
      <c r="C90" s="3" t="s">
        <v>313</v>
      </c>
      <c r="D90" s="4">
        <v>42370</v>
      </c>
      <c r="E90" s="3">
        <v>108</v>
      </c>
      <c r="F90" s="3">
        <v>5</v>
      </c>
      <c r="G90" s="9">
        <v>133.5</v>
      </c>
      <c r="H90" s="9">
        <v>102.56</v>
      </c>
      <c r="I90" s="22">
        <f t="shared" si="4"/>
        <v>0.9496296296296296</v>
      </c>
      <c r="J90" s="22" t="str">
        <f t="shared" si="5"/>
        <v>Medium</v>
      </c>
      <c r="K90" s="24">
        <f t="shared" si="6"/>
        <v>26.7</v>
      </c>
      <c r="L90" s="27" t="str">
        <f t="shared" si="7"/>
        <v>Low</v>
      </c>
    </row>
    <row r="91" spans="1:12" x14ac:dyDescent="0.2">
      <c r="A91" s="3" t="s">
        <v>96</v>
      </c>
      <c r="B91" s="3" t="s">
        <v>386</v>
      </c>
      <c r="C91" s="3" t="s">
        <v>384</v>
      </c>
      <c r="D91" s="4">
        <v>42370</v>
      </c>
      <c r="E91" s="3">
        <v>56</v>
      </c>
      <c r="F91" s="3">
        <v>1</v>
      </c>
      <c r="G91" s="9">
        <v>132</v>
      </c>
      <c r="H91" s="9">
        <v>17.25</v>
      </c>
      <c r="I91" s="22">
        <f t="shared" si="4"/>
        <v>0.3080357142857143</v>
      </c>
      <c r="J91" s="22" t="str">
        <f t="shared" si="5"/>
        <v>Low</v>
      </c>
      <c r="K91" s="24">
        <f t="shared" si="6"/>
        <v>132</v>
      </c>
      <c r="L91" s="27" t="str">
        <f t="shared" si="7"/>
        <v>Medium</v>
      </c>
    </row>
    <row r="92" spans="1:12" x14ac:dyDescent="0.2">
      <c r="A92" s="3" t="s">
        <v>97</v>
      </c>
      <c r="B92" s="3" t="s">
        <v>386</v>
      </c>
      <c r="C92" s="3" t="s">
        <v>384</v>
      </c>
      <c r="D92" s="4">
        <v>42430</v>
      </c>
      <c r="E92" s="3">
        <v>28</v>
      </c>
      <c r="F92" s="3">
        <v>2</v>
      </c>
      <c r="G92" s="9">
        <v>130.25</v>
      </c>
      <c r="H92" s="9">
        <v>61.25</v>
      </c>
      <c r="I92" s="22">
        <f t="shared" si="4"/>
        <v>2.1875</v>
      </c>
      <c r="J92" s="22" t="str">
        <f t="shared" si="5"/>
        <v>High</v>
      </c>
      <c r="K92" s="24">
        <f t="shared" si="6"/>
        <v>65.125</v>
      </c>
      <c r="L92" s="27" t="str">
        <f t="shared" si="7"/>
        <v>Low</v>
      </c>
    </row>
    <row r="93" spans="1:12" x14ac:dyDescent="0.2">
      <c r="A93" s="3" t="s">
        <v>98</v>
      </c>
      <c r="B93" s="3" t="s">
        <v>237</v>
      </c>
      <c r="C93" s="3" t="s">
        <v>313</v>
      </c>
      <c r="D93" s="4">
        <v>42370</v>
      </c>
      <c r="E93" s="3">
        <v>221</v>
      </c>
      <c r="F93" s="3">
        <v>3</v>
      </c>
      <c r="G93" s="9">
        <v>129.43</v>
      </c>
      <c r="H93" s="9">
        <v>165.37</v>
      </c>
      <c r="I93" s="22">
        <f t="shared" si="4"/>
        <v>0.74828054298642532</v>
      </c>
      <c r="J93" s="22" t="str">
        <f t="shared" si="5"/>
        <v>Medium</v>
      </c>
      <c r="K93" s="24">
        <f t="shared" si="6"/>
        <v>43.143333333333338</v>
      </c>
      <c r="L93" s="27" t="str">
        <f t="shared" si="7"/>
        <v>Low</v>
      </c>
    </row>
    <row r="94" spans="1:12" x14ac:dyDescent="0.2">
      <c r="A94" s="3" t="s">
        <v>99</v>
      </c>
      <c r="B94" s="3" t="s">
        <v>22</v>
      </c>
      <c r="C94" s="3" t="s">
        <v>383</v>
      </c>
      <c r="D94" s="4">
        <v>42401</v>
      </c>
      <c r="E94" s="3">
        <v>39</v>
      </c>
      <c r="F94" s="3">
        <v>1</v>
      </c>
      <c r="G94" s="9">
        <v>127.2</v>
      </c>
      <c r="H94" s="9">
        <v>119.27</v>
      </c>
      <c r="I94" s="22">
        <f t="shared" si="4"/>
        <v>3.0582051282051279</v>
      </c>
      <c r="J94" s="22" t="str">
        <f t="shared" si="5"/>
        <v>High</v>
      </c>
      <c r="K94" s="24">
        <f t="shared" si="6"/>
        <v>127.2</v>
      </c>
      <c r="L94" s="27" t="str">
        <f t="shared" si="7"/>
        <v>Medium</v>
      </c>
    </row>
    <row r="95" spans="1:12" x14ac:dyDescent="0.2">
      <c r="A95" s="3" t="s">
        <v>100</v>
      </c>
      <c r="B95" s="3" t="s">
        <v>22</v>
      </c>
      <c r="C95" s="3" t="s">
        <v>313</v>
      </c>
      <c r="D95" s="4">
        <v>42370</v>
      </c>
      <c r="E95" s="3">
        <v>37</v>
      </c>
      <c r="F95" s="3">
        <v>2</v>
      </c>
      <c r="G95" s="9">
        <v>124</v>
      </c>
      <c r="H95" s="9">
        <v>26.71</v>
      </c>
      <c r="I95" s="22">
        <f t="shared" si="4"/>
        <v>0.72189189189189196</v>
      </c>
      <c r="J95" s="22" t="str">
        <f t="shared" si="5"/>
        <v>Medium</v>
      </c>
      <c r="K95" s="24">
        <f t="shared" si="6"/>
        <v>62</v>
      </c>
      <c r="L95" s="27" t="str">
        <f t="shared" si="7"/>
        <v>Low</v>
      </c>
    </row>
    <row r="96" spans="1:12" x14ac:dyDescent="0.2">
      <c r="A96" s="3" t="s">
        <v>101</v>
      </c>
      <c r="B96" s="3" t="s">
        <v>237</v>
      </c>
      <c r="C96" s="3" t="s">
        <v>313</v>
      </c>
      <c r="D96" s="4">
        <v>42401</v>
      </c>
      <c r="E96" s="3">
        <v>24</v>
      </c>
      <c r="F96" s="3">
        <v>2</v>
      </c>
      <c r="G96" s="9">
        <v>123</v>
      </c>
      <c r="H96" s="9">
        <v>47.33</v>
      </c>
      <c r="I96" s="22">
        <f t="shared" si="4"/>
        <v>1.9720833333333332</v>
      </c>
      <c r="J96" s="22" t="str">
        <f t="shared" si="5"/>
        <v>High</v>
      </c>
      <c r="K96" s="24">
        <f t="shared" si="6"/>
        <v>61.5</v>
      </c>
      <c r="L96" s="27" t="str">
        <f t="shared" si="7"/>
        <v>Low</v>
      </c>
    </row>
    <row r="97" spans="1:12" x14ac:dyDescent="0.2">
      <c r="A97" s="3" t="s">
        <v>102</v>
      </c>
      <c r="B97" s="3" t="s">
        <v>22</v>
      </c>
      <c r="C97" s="3" t="s">
        <v>313</v>
      </c>
      <c r="D97" s="4">
        <v>42401</v>
      </c>
      <c r="E97" s="3">
        <v>67</v>
      </c>
      <c r="F97" s="3">
        <v>2</v>
      </c>
      <c r="G97" s="9">
        <v>117.8</v>
      </c>
      <c r="H97" s="9">
        <v>93.25</v>
      </c>
      <c r="I97" s="22">
        <f t="shared" si="4"/>
        <v>1.3917910447761195</v>
      </c>
      <c r="J97" s="22" t="str">
        <f t="shared" si="5"/>
        <v>Medium</v>
      </c>
      <c r="K97" s="24">
        <f t="shared" si="6"/>
        <v>58.9</v>
      </c>
      <c r="L97" s="27" t="str">
        <f t="shared" si="7"/>
        <v>Low</v>
      </c>
    </row>
    <row r="98" spans="1:12" x14ac:dyDescent="0.2">
      <c r="A98" s="3" t="s">
        <v>103</v>
      </c>
      <c r="B98" s="3" t="s">
        <v>22</v>
      </c>
      <c r="C98" s="3" t="s">
        <v>313</v>
      </c>
      <c r="D98" s="4">
        <v>42401</v>
      </c>
      <c r="E98" s="3">
        <v>35</v>
      </c>
      <c r="F98" s="3">
        <v>1</v>
      </c>
      <c r="G98" s="9">
        <v>115</v>
      </c>
      <c r="H98" s="9">
        <v>39.19</v>
      </c>
      <c r="I98" s="22">
        <f t="shared" si="4"/>
        <v>1.1197142857142857</v>
      </c>
      <c r="J98" s="22" t="str">
        <f t="shared" si="5"/>
        <v>Medium</v>
      </c>
      <c r="K98" s="24">
        <f t="shared" si="6"/>
        <v>115</v>
      </c>
      <c r="L98" s="27" t="str">
        <f t="shared" si="7"/>
        <v>Medium</v>
      </c>
    </row>
    <row r="99" spans="1:12" x14ac:dyDescent="0.2">
      <c r="A99" s="3" t="s">
        <v>105</v>
      </c>
      <c r="B99" s="3" t="s">
        <v>22</v>
      </c>
      <c r="C99" s="3" t="s">
        <v>383</v>
      </c>
      <c r="D99" s="4">
        <v>42430</v>
      </c>
      <c r="E99" s="3">
        <v>35</v>
      </c>
      <c r="F99" s="3">
        <v>1</v>
      </c>
      <c r="G99" s="9">
        <v>113</v>
      </c>
      <c r="H99" s="9">
        <v>21.17</v>
      </c>
      <c r="I99" s="22">
        <f t="shared" si="4"/>
        <v>0.60485714285714287</v>
      </c>
      <c r="J99" s="22" t="str">
        <f t="shared" si="5"/>
        <v>Medium</v>
      </c>
      <c r="K99" s="24">
        <f t="shared" si="6"/>
        <v>113</v>
      </c>
      <c r="L99" s="27" t="str">
        <f t="shared" si="7"/>
        <v>Medium</v>
      </c>
    </row>
    <row r="100" spans="1:12" x14ac:dyDescent="0.2">
      <c r="A100" s="3" t="s">
        <v>104</v>
      </c>
      <c r="B100" s="3" t="s">
        <v>386</v>
      </c>
      <c r="C100" s="3" t="s">
        <v>341</v>
      </c>
      <c r="D100" s="4">
        <v>42401</v>
      </c>
      <c r="E100" s="3">
        <v>26</v>
      </c>
      <c r="F100" s="3">
        <v>1</v>
      </c>
      <c r="G100" s="9">
        <v>113</v>
      </c>
      <c r="H100" s="9">
        <v>76.930000000000007</v>
      </c>
      <c r="I100" s="22">
        <f t="shared" si="4"/>
        <v>2.9588461538461539</v>
      </c>
      <c r="J100" s="22" t="str">
        <f t="shared" si="5"/>
        <v>High</v>
      </c>
      <c r="K100" s="24">
        <f t="shared" si="6"/>
        <v>113</v>
      </c>
      <c r="L100" s="27" t="str">
        <f t="shared" si="7"/>
        <v>Medium</v>
      </c>
    </row>
    <row r="101" spans="1:12" x14ac:dyDescent="0.2">
      <c r="A101" s="3" t="s">
        <v>106</v>
      </c>
      <c r="B101" s="3" t="s">
        <v>22</v>
      </c>
      <c r="C101" s="3" t="s">
        <v>383</v>
      </c>
      <c r="D101" s="4">
        <v>42401</v>
      </c>
      <c r="E101" s="3">
        <v>7</v>
      </c>
      <c r="F101" s="3">
        <v>1</v>
      </c>
      <c r="G101" s="9">
        <v>111.6</v>
      </c>
      <c r="H101" s="9">
        <v>12.09</v>
      </c>
      <c r="I101" s="22">
        <f t="shared" si="4"/>
        <v>1.7271428571428571</v>
      </c>
      <c r="J101" s="22" t="str">
        <f t="shared" si="5"/>
        <v>High</v>
      </c>
      <c r="K101" s="24">
        <f t="shared" si="6"/>
        <v>111.6</v>
      </c>
      <c r="L101" s="27" t="str">
        <f t="shared" si="7"/>
        <v>Medium</v>
      </c>
    </row>
    <row r="102" spans="1:12" x14ac:dyDescent="0.2">
      <c r="A102" s="3" t="s">
        <v>107</v>
      </c>
      <c r="B102" s="3" t="s">
        <v>386</v>
      </c>
      <c r="C102" s="3" t="s">
        <v>341</v>
      </c>
      <c r="D102" s="4">
        <v>42370</v>
      </c>
      <c r="E102" s="3">
        <v>6</v>
      </c>
      <c r="F102" s="3">
        <v>1</v>
      </c>
      <c r="G102" s="9">
        <v>109</v>
      </c>
      <c r="H102" s="9">
        <v>3.87</v>
      </c>
      <c r="I102" s="22">
        <f t="shared" si="4"/>
        <v>0.64500000000000002</v>
      </c>
      <c r="J102" s="22" t="str">
        <f t="shared" si="5"/>
        <v>Medium</v>
      </c>
      <c r="K102" s="24">
        <f t="shared" si="6"/>
        <v>109</v>
      </c>
      <c r="L102" s="27" t="str">
        <f t="shared" si="7"/>
        <v>Medium</v>
      </c>
    </row>
    <row r="103" spans="1:12" x14ac:dyDescent="0.2">
      <c r="A103" s="3" t="s">
        <v>110</v>
      </c>
      <c r="B103" s="3" t="s">
        <v>237</v>
      </c>
      <c r="C103" s="3" t="s">
        <v>383</v>
      </c>
      <c r="D103" s="4">
        <v>42370</v>
      </c>
      <c r="E103" s="3">
        <v>144</v>
      </c>
      <c r="F103" s="3">
        <v>1</v>
      </c>
      <c r="G103" s="9">
        <v>103.5</v>
      </c>
      <c r="H103" s="9">
        <v>185.69</v>
      </c>
      <c r="I103" s="22">
        <f t="shared" si="4"/>
        <v>1.2895138888888888</v>
      </c>
      <c r="J103" s="22" t="str">
        <f t="shared" si="5"/>
        <v>Medium</v>
      </c>
      <c r="K103" s="24">
        <f t="shared" si="6"/>
        <v>103.5</v>
      </c>
      <c r="L103" s="27" t="str">
        <f t="shared" si="7"/>
        <v>Medium</v>
      </c>
    </row>
    <row r="104" spans="1:12" x14ac:dyDescent="0.2">
      <c r="A104" s="3" t="s">
        <v>111</v>
      </c>
      <c r="B104" s="3" t="s">
        <v>386</v>
      </c>
      <c r="C104" s="3" t="s">
        <v>387</v>
      </c>
      <c r="D104" s="4">
        <v>42370</v>
      </c>
      <c r="E104" s="3">
        <v>45</v>
      </c>
      <c r="F104" s="3">
        <v>2</v>
      </c>
      <c r="G104" s="9">
        <v>102</v>
      </c>
      <c r="H104" s="9">
        <v>19.239999999999998</v>
      </c>
      <c r="I104" s="22">
        <f t="shared" si="4"/>
        <v>0.42755555555555552</v>
      </c>
      <c r="J104" s="22" t="str">
        <f t="shared" si="5"/>
        <v>Low</v>
      </c>
      <c r="K104" s="24">
        <f t="shared" si="6"/>
        <v>51</v>
      </c>
      <c r="L104" s="27" t="str">
        <f t="shared" si="7"/>
        <v>Low</v>
      </c>
    </row>
    <row r="105" spans="1:12" x14ac:dyDescent="0.2">
      <c r="A105" s="3" t="s">
        <v>112</v>
      </c>
      <c r="B105" s="3" t="s">
        <v>22</v>
      </c>
      <c r="C105" s="3" t="s">
        <v>313</v>
      </c>
      <c r="D105" s="4">
        <v>42370</v>
      </c>
      <c r="E105" s="3">
        <v>48</v>
      </c>
      <c r="F105" s="3">
        <v>1</v>
      </c>
      <c r="G105" s="9">
        <v>101.5</v>
      </c>
      <c r="H105" s="9">
        <v>103.58</v>
      </c>
      <c r="I105" s="22">
        <f t="shared" si="4"/>
        <v>2.1579166666666665</v>
      </c>
      <c r="J105" s="22" t="str">
        <f t="shared" si="5"/>
        <v>High</v>
      </c>
      <c r="K105" s="24">
        <f t="shared" si="6"/>
        <v>101.5</v>
      </c>
      <c r="L105" s="27" t="str">
        <f t="shared" si="7"/>
        <v>Medium</v>
      </c>
    </row>
    <row r="106" spans="1:12" x14ac:dyDescent="0.2">
      <c r="A106" s="3" t="s">
        <v>113</v>
      </c>
      <c r="B106" s="3" t="s">
        <v>386</v>
      </c>
      <c r="C106" s="3" t="s">
        <v>341</v>
      </c>
      <c r="D106" s="4">
        <v>42430</v>
      </c>
      <c r="E106" s="3">
        <v>171</v>
      </c>
      <c r="F106" s="3">
        <v>3</v>
      </c>
      <c r="G106" s="9">
        <v>99.05</v>
      </c>
      <c r="H106" s="9">
        <v>172.78</v>
      </c>
      <c r="I106" s="22">
        <f t="shared" si="4"/>
        <v>1.0104093567251462</v>
      </c>
      <c r="J106" s="22" t="str">
        <f t="shared" si="5"/>
        <v>Medium</v>
      </c>
      <c r="K106" s="24">
        <f t="shared" si="6"/>
        <v>33.016666666666666</v>
      </c>
      <c r="L106" s="27" t="str">
        <f t="shared" si="7"/>
        <v>Low</v>
      </c>
    </row>
    <row r="107" spans="1:12" x14ac:dyDescent="0.2">
      <c r="A107" s="3" t="s">
        <v>115</v>
      </c>
      <c r="B107" s="3" t="s">
        <v>386</v>
      </c>
      <c r="C107" s="3" t="s">
        <v>340</v>
      </c>
      <c r="D107" s="4">
        <v>42430</v>
      </c>
      <c r="E107" s="3">
        <v>7</v>
      </c>
      <c r="F107" s="3">
        <v>1</v>
      </c>
      <c r="G107" s="9">
        <v>99</v>
      </c>
      <c r="H107" s="9">
        <v>1.73</v>
      </c>
      <c r="I107" s="22">
        <f t="shared" si="4"/>
        <v>0.24714285714285714</v>
      </c>
      <c r="J107" s="22" t="str">
        <f t="shared" si="5"/>
        <v>Low</v>
      </c>
      <c r="K107" s="24">
        <f t="shared" si="6"/>
        <v>99</v>
      </c>
      <c r="L107" s="27" t="str">
        <f t="shared" si="7"/>
        <v>Medium</v>
      </c>
    </row>
    <row r="108" spans="1:12" x14ac:dyDescent="0.2">
      <c r="A108" s="3" t="s">
        <v>250</v>
      </c>
      <c r="B108" s="3" t="s">
        <v>386</v>
      </c>
      <c r="C108" s="3" t="s">
        <v>341</v>
      </c>
      <c r="D108" s="4">
        <v>42430</v>
      </c>
      <c r="E108" s="3">
        <v>47</v>
      </c>
      <c r="F108" s="3">
        <v>1</v>
      </c>
      <c r="G108" s="9">
        <v>99</v>
      </c>
      <c r="H108" s="9">
        <v>10.64</v>
      </c>
      <c r="I108" s="22">
        <f t="shared" si="4"/>
        <v>0.22638297872340427</v>
      </c>
      <c r="J108" s="22" t="str">
        <f t="shared" si="5"/>
        <v>Low</v>
      </c>
      <c r="K108" s="24">
        <f t="shared" si="6"/>
        <v>99</v>
      </c>
      <c r="L108" s="27" t="str">
        <f t="shared" si="7"/>
        <v>Medium</v>
      </c>
    </row>
    <row r="109" spans="1:12" x14ac:dyDescent="0.2">
      <c r="A109" s="3" t="s">
        <v>116</v>
      </c>
      <c r="B109" s="3" t="s">
        <v>22</v>
      </c>
      <c r="C109" s="3" t="s">
        <v>383</v>
      </c>
      <c r="D109" s="4">
        <v>42370</v>
      </c>
      <c r="E109" s="3">
        <v>16</v>
      </c>
      <c r="F109" s="3">
        <v>2</v>
      </c>
      <c r="G109" s="9">
        <v>95.99</v>
      </c>
      <c r="H109" s="9">
        <v>3.81</v>
      </c>
      <c r="I109" s="22">
        <f t="shared" si="4"/>
        <v>0.238125</v>
      </c>
      <c r="J109" s="22" t="str">
        <f t="shared" si="5"/>
        <v>Low</v>
      </c>
      <c r="K109" s="24">
        <f t="shared" si="6"/>
        <v>47.994999999999997</v>
      </c>
      <c r="L109" s="27" t="str">
        <f t="shared" si="7"/>
        <v>Low</v>
      </c>
    </row>
    <row r="110" spans="1:12" x14ac:dyDescent="0.2">
      <c r="A110" s="3" t="s">
        <v>109</v>
      </c>
      <c r="B110" s="3" t="s">
        <v>22</v>
      </c>
      <c r="C110" s="3" t="s">
        <v>313</v>
      </c>
      <c r="D110" s="4">
        <v>42370</v>
      </c>
      <c r="E110" s="3">
        <v>177</v>
      </c>
      <c r="F110" s="3">
        <v>3</v>
      </c>
      <c r="G110" s="9">
        <v>95.97</v>
      </c>
      <c r="H110" s="9">
        <v>35.15</v>
      </c>
      <c r="I110" s="22">
        <f t="shared" si="4"/>
        <v>0.19858757062146892</v>
      </c>
      <c r="J110" s="22" t="str">
        <f t="shared" si="5"/>
        <v>Low</v>
      </c>
      <c r="K110" s="24">
        <f t="shared" si="6"/>
        <v>31.99</v>
      </c>
      <c r="L110" s="27" t="str">
        <f t="shared" si="7"/>
        <v>Low</v>
      </c>
    </row>
    <row r="111" spans="1:12" x14ac:dyDescent="0.2">
      <c r="A111" s="3" t="s">
        <v>118</v>
      </c>
      <c r="B111" s="3" t="s">
        <v>22</v>
      </c>
      <c r="C111" s="3" t="s">
        <v>313</v>
      </c>
      <c r="D111" s="4">
        <v>42401</v>
      </c>
      <c r="E111" s="3">
        <v>37</v>
      </c>
      <c r="F111" s="3">
        <v>1</v>
      </c>
      <c r="G111" s="9">
        <v>94</v>
      </c>
      <c r="H111" s="9">
        <v>35.68</v>
      </c>
      <c r="I111" s="22">
        <f t="shared" si="4"/>
        <v>0.96432432432432436</v>
      </c>
      <c r="J111" s="22" t="str">
        <f t="shared" si="5"/>
        <v>Medium</v>
      </c>
      <c r="K111" s="24">
        <f t="shared" si="6"/>
        <v>94</v>
      </c>
      <c r="L111" s="27" t="str">
        <f t="shared" si="7"/>
        <v>Medium</v>
      </c>
    </row>
    <row r="112" spans="1:12" x14ac:dyDescent="0.2">
      <c r="A112" s="3" t="s">
        <v>117</v>
      </c>
      <c r="B112" s="3" t="s">
        <v>386</v>
      </c>
      <c r="C112" s="3" t="s">
        <v>313</v>
      </c>
      <c r="D112" s="4">
        <v>42401</v>
      </c>
      <c r="E112" s="3">
        <v>228</v>
      </c>
      <c r="F112" s="3">
        <v>1</v>
      </c>
      <c r="G112" s="9">
        <v>94</v>
      </c>
      <c r="H112" s="9">
        <v>30.47</v>
      </c>
      <c r="I112" s="22">
        <f t="shared" si="4"/>
        <v>0.13364035087719298</v>
      </c>
      <c r="J112" s="22" t="str">
        <f t="shared" si="5"/>
        <v>Low</v>
      </c>
      <c r="K112" s="24">
        <f t="shared" si="6"/>
        <v>94</v>
      </c>
      <c r="L112" s="27" t="str">
        <f t="shared" si="7"/>
        <v>Medium</v>
      </c>
    </row>
    <row r="113" spans="1:12" x14ac:dyDescent="0.2">
      <c r="A113" s="3" t="s">
        <v>119</v>
      </c>
      <c r="B113" s="3" t="s">
        <v>386</v>
      </c>
      <c r="C113" s="3" t="s">
        <v>313</v>
      </c>
      <c r="D113" s="4">
        <v>42430</v>
      </c>
      <c r="E113" s="3">
        <v>14</v>
      </c>
      <c r="F113" s="3">
        <v>2</v>
      </c>
      <c r="G113" s="9">
        <v>92.98</v>
      </c>
      <c r="H113" s="9">
        <v>5.89</v>
      </c>
      <c r="I113" s="22">
        <f t="shared" si="4"/>
        <v>0.42071428571428571</v>
      </c>
      <c r="J113" s="22" t="str">
        <f t="shared" si="5"/>
        <v>Low</v>
      </c>
      <c r="K113" s="24">
        <f t="shared" si="6"/>
        <v>46.49</v>
      </c>
      <c r="L113" s="27" t="str">
        <f t="shared" si="7"/>
        <v>Low</v>
      </c>
    </row>
    <row r="114" spans="1:12" x14ac:dyDescent="0.2">
      <c r="A114" s="3" t="s">
        <v>394</v>
      </c>
      <c r="B114" s="3" t="s">
        <v>386</v>
      </c>
      <c r="C114" s="3" t="s">
        <v>313</v>
      </c>
      <c r="D114" s="4">
        <v>42401</v>
      </c>
      <c r="E114" s="3">
        <v>22</v>
      </c>
      <c r="F114" s="3">
        <v>1</v>
      </c>
      <c r="G114" s="9">
        <v>92</v>
      </c>
      <c r="H114" s="9">
        <v>3.31</v>
      </c>
      <c r="I114" s="22">
        <f t="shared" si="4"/>
        <v>0.15045454545454545</v>
      </c>
      <c r="J114" s="22" t="str">
        <f t="shared" si="5"/>
        <v>Low</v>
      </c>
      <c r="K114" s="24">
        <f t="shared" si="6"/>
        <v>92</v>
      </c>
      <c r="L114" s="27" t="str">
        <f t="shared" si="7"/>
        <v>Medium</v>
      </c>
    </row>
    <row r="115" spans="1:12" x14ac:dyDescent="0.2">
      <c r="A115" s="3" t="s">
        <v>120</v>
      </c>
      <c r="B115" s="3" t="s">
        <v>386</v>
      </c>
      <c r="C115" s="3" t="s">
        <v>313</v>
      </c>
      <c r="D115" s="4">
        <v>42370</v>
      </c>
      <c r="E115" s="3">
        <v>31</v>
      </c>
      <c r="F115" s="3">
        <v>1</v>
      </c>
      <c r="G115" s="9">
        <v>92</v>
      </c>
      <c r="H115" s="9">
        <v>9.24</v>
      </c>
      <c r="I115" s="22">
        <f t="shared" si="4"/>
        <v>0.29806451612903229</v>
      </c>
      <c r="J115" s="22" t="str">
        <f t="shared" si="5"/>
        <v>Low</v>
      </c>
      <c r="K115" s="24">
        <f t="shared" si="6"/>
        <v>92</v>
      </c>
      <c r="L115" s="27" t="str">
        <f t="shared" si="7"/>
        <v>Medium</v>
      </c>
    </row>
    <row r="116" spans="1:12" x14ac:dyDescent="0.2">
      <c r="A116" s="3" t="s">
        <v>122</v>
      </c>
      <c r="B116" s="3" t="s">
        <v>386</v>
      </c>
      <c r="C116" s="3" t="s">
        <v>341</v>
      </c>
      <c r="D116" s="4">
        <v>42430</v>
      </c>
      <c r="E116" s="3">
        <v>99</v>
      </c>
      <c r="F116" s="3">
        <v>2</v>
      </c>
      <c r="G116" s="9">
        <v>91</v>
      </c>
      <c r="H116" s="9">
        <v>108.94</v>
      </c>
      <c r="I116" s="22">
        <f t="shared" si="4"/>
        <v>1.1004040404040403</v>
      </c>
      <c r="J116" s="22" t="str">
        <f t="shared" si="5"/>
        <v>Medium</v>
      </c>
      <c r="K116" s="24">
        <f t="shared" si="6"/>
        <v>45.5</v>
      </c>
      <c r="L116" s="27" t="str">
        <f t="shared" si="7"/>
        <v>Low</v>
      </c>
    </row>
    <row r="117" spans="1:12" x14ac:dyDescent="0.2">
      <c r="A117" s="3" t="s">
        <v>121</v>
      </c>
      <c r="B117" s="3" t="s">
        <v>237</v>
      </c>
      <c r="C117" s="3" t="s">
        <v>313</v>
      </c>
      <c r="D117" s="4">
        <v>42370</v>
      </c>
      <c r="E117" s="3">
        <v>52</v>
      </c>
      <c r="F117" s="3">
        <v>2</v>
      </c>
      <c r="G117" s="9">
        <v>91</v>
      </c>
      <c r="H117" s="9">
        <v>22.27</v>
      </c>
      <c r="I117" s="22">
        <f t="shared" si="4"/>
        <v>0.42826923076923074</v>
      </c>
      <c r="J117" s="22" t="str">
        <f t="shared" si="5"/>
        <v>Low</v>
      </c>
      <c r="K117" s="24">
        <f t="shared" si="6"/>
        <v>45.5</v>
      </c>
      <c r="L117" s="27" t="str">
        <f t="shared" si="7"/>
        <v>Low</v>
      </c>
    </row>
    <row r="118" spans="1:12" x14ac:dyDescent="0.2">
      <c r="A118" s="3" t="s">
        <v>123</v>
      </c>
      <c r="B118" s="3" t="s">
        <v>22</v>
      </c>
      <c r="C118" s="3" t="s">
        <v>383</v>
      </c>
      <c r="D118" s="4">
        <v>42370</v>
      </c>
      <c r="E118" s="3">
        <v>65</v>
      </c>
      <c r="F118" s="3">
        <v>1</v>
      </c>
      <c r="G118" s="9">
        <v>89.98</v>
      </c>
      <c r="H118" s="9">
        <v>97.96</v>
      </c>
      <c r="I118" s="22">
        <f t="shared" si="4"/>
        <v>1.507076923076923</v>
      </c>
      <c r="J118" s="22" t="str">
        <f t="shared" si="5"/>
        <v>High</v>
      </c>
      <c r="K118" s="24">
        <f t="shared" si="6"/>
        <v>89.98</v>
      </c>
      <c r="L118" s="27" t="str">
        <f t="shared" si="7"/>
        <v>Medium</v>
      </c>
    </row>
    <row r="119" spans="1:12" x14ac:dyDescent="0.2">
      <c r="A119" s="3" t="s">
        <v>124</v>
      </c>
      <c r="B119" s="3" t="s">
        <v>237</v>
      </c>
      <c r="C119" s="3" t="s">
        <v>313</v>
      </c>
      <c r="D119" s="4">
        <v>42430</v>
      </c>
      <c r="E119" s="3">
        <v>56</v>
      </c>
      <c r="F119" s="3">
        <v>1</v>
      </c>
      <c r="G119" s="9">
        <v>89.5</v>
      </c>
      <c r="H119" s="9">
        <v>67.319999999999993</v>
      </c>
      <c r="I119" s="22">
        <f t="shared" si="4"/>
        <v>1.202142857142857</v>
      </c>
      <c r="J119" s="22" t="str">
        <f t="shared" si="5"/>
        <v>Medium</v>
      </c>
      <c r="K119" s="24">
        <f t="shared" si="6"/>
        <v>89.5</v>
      </c>
      <c r="L119" s="27" t="str">
        <f t="shared" si="7"/>
        <v>Medium</v>
      </c>
    </row>
    <row r="120" spans="1:12" x14ac:dyDescent="0.2">
      <c r="A120" s="3" t="s">
        <v>126</v>
      </c>
      <c r="B120" s="3" t="s">
        <v>386</v>
      </c>
      <c r="C120" s="3" t="s">
        <v>383</v>
      </c>
      <c r="D120" s="4">
        <v>42370</v>
      </c>
      <c r="E120" s="3">
        <v>39</v>
      </c>
      <c r="F120" s="3">
        <v>1</v>
      </c>
      <c r="G120" s="9">
        <v>88</v>
      </c>
      <c r="H120" s="9">
        <v>40.81</v>
      </c>
      <c r="I120" s="22">
        <f t="shared" si="4"/>
        <v>1.0464102564102564</v>
      </c>
      <c r="J120" s="22" t="str">
        <f t="shared" si="5"/>
        <v>Medium</v>
      </c>
      <c r="K120" s="24">
        <f t="shared" si="6"/>
        <v>88</v>
      </c>
      <c r="L120" s="27" t="str">
        <f t="shared" si="7"/>
        <v>Medium</v>
      </c>
    </row>
    <row r="121" spans="1:12" x14ac:dyDescent="0.2">
      <c r="A121" s="3" t="s">
        <v>127</v>
      </c>
      <c r="B121" s="3" t="s">
        <v>22</v>
      </c>
      <c r="C121" s="3" t="s">
        <v>313</v>
      </c>
      <c r="D121" s="4">
        <v>42370</v>
      </c>
      <c r="E121" s="3">
        <v>38</v>
      </c>
      <c r="F121" s="3">
        <v>1</v>
      </c>
      <c r="G121" s="9">
        <v>88</v>
      </c>
      <c r="H121" s="9">
        <v>8.34</v>
      </c>
      <c r="I121" s="22">
        <f t="shared" si="4"/>
        <v>0.21947368421052632</v>
      </c>
      <c r="J121" s="22" t="str">
        <f t="shared" si="5"/>
        <v>Low</v>
      </c>
      <c r="K121" s="24">
        <f t="shared" si="6"/>
        <v>88</v>
      </c>
      <c r="L121" s="27" t="str">
        <f t="shared" si="7"/>
        <v>Medium</v>
      </c>
    </row>
    <row r="122" spans="1:12" x14ac:dyDescent="0.2">
      <c r="A122" s="3" t="s">
        <v>128</v>
      </c>
      <c r="B122" s="3" t="s">
        <v>237</v>
      </c>
      <c r="C122" s="3" t="s">
        <v>383</v>
      </c>
      <c r="D122" s="4">
        <v>42370</v>
      </c>
      <c r="E122" s="3">
        <v>31</v>
      </c>
      <c r="F122" s="3">
        <v>1</v>
      </c>
      <c r="G122" s="9">
        <v>88</v>
      </c>
      <c r="H122" s="9">
        <v>37.64</v>
      </c>
      <c r="I122" s="22">
        <f t="shared" si="4"/>
        <v>1.2141935483870967</v>
      </c>
      <c r="J122" s="22" t="str">
        <f t="shared" si="5"/>
        <v>Medium</v>
      </c>
      <c r="K122" s="24">
        <f t="shared" si="6"/>
        <v>88</v>
      </c>
      <c r="L122" s="27" t="str">
        <f t="shared" si="7"/>
        <v>Medium</v>
      </c>
    </row>
    <row r="123" spans="1:12" x14ac:dyDescent="0.2">
      <c r="A123" s="3" t="s">
        <v>130</v>
      </c>
      <c r="B123" s="3" t="s">
        <v>386</v>
      </c>
      <c r="C123" s="3" t="s">
        <v>313</v>
      </c>
      <c r="D123" s="4">
        <v>42370</v>
      </c>
      <c r="E123" s="3">
        <v>37</v>
      </c>
      <c r="F123" s="3">
        <v>1</v>
      </c>
      <c r="G123" s="9">
        <v>87</v>
      </c>
      <c r="H123" s="9">
        <v>80.27</v>
      </c>
      <c r="I123" s="22">
        <f t="shared" si="4"/>
        <v>2.1694594594594592</v>
      </c>
      <c r="J123" s="22" t="str">
        <f t="shared" si="5"/>
        <v>High</v>
      </c>
      <c r="K123" s="24">
        <f t="shared" si="6"/>
        <v>87</v>
      </c>
      <c r="L123" s="27" t="str">
        <f t="shared" si="7"/>
        <v>Medium</v>
      </c>
    </row>
    <row r="124" spans="1:12" x14ac:dyDescent="0.2">
      <c r="A124" s="3" t="s">
        <v>129</v>
      </c>
      <c r="B124" s="3" t="s">
        <v>386</v>
      </c>
      <c r="C124" s="3" t="s">
        <v>383</v>
      </c>
      <c r="D124" s="4">
        <v>42370</v>
      </c>
      <c r="E124" s="3">
        <v>51</v>
      </c>
      <c r="F124" s="3">
        <v>3</v>
      </c>
      <c r="G124" s="9">
        <v>87</v>
      </c>
      <c r="H124" s="9">
        <v>39.700000000000003</v>
      </c>
      <c r="I124" s="22">
        <f t="shared" si="4"/>
        <v>0.77843137254901962</v>
      </c>
      <c r="J124" s="22" t="str">
        <f t="shared" si="5"/>
        <v>Medium</v>
      </c>
      <c r="K124" s="24">
        <f t="shared" si="6"/>
        <v>29</v>
      </c>
      <c r="L124" s="27" t="str">
        <f t="shared" si="7"/>
        <v>Low</v>
      </c>
    </row>
    <row r="125" spans="1:12" x14ac:dyDescent="0.2">
      <c r="A125" s="3" t="s">
        <v>131</v>
      </c>
      <c r="B125" s="3" t="s">
        <v>237</v>
      </c>
      <c r="C125" s="3" t="s">
        <v>313</v>
      </c>
      <c r="D125" s="4">
        <v>42370</v>
      </c>
      <c r="E125" s="3">
        <v>250</v>
      </c>
      <c r="F125" s="3">
        <v>2</v>
      </c>
      <c r="G125" s="9">
        <v>86</v>
      </c>
      <c r="H125" s="9">
        <v>138.06</v>
      </c>
      <c r="I125" s="22">
        <f t="shared" si="4"/>
        <v>0.55224000000000006</v>
      </c>
      <c r="J125" s="22" t="str">
        <f t="shared" si="5"/>
        <v>Medium</v>
      </c>
      <c r="K125" s="24">
        <f t="shared" si="6"/>
        <v>43</v>
      </c>
      <c r="L125" s="27" t="str">
        <f t="shared" si="7"/>
        <v>Low</v>
      </c>
    </row>
    <row r="126" spans="1:12" x14ac:dyDescent="0.2">
      <c r="A126" s="3" t="s">
        <v>132</v>
      </c>
      <c r="B126" s="3" t="s">
        <v>386</v>
      </c>
      <c r="C126" s="3" t="s">
        <v>341</v>
      </c>
      <c r="D126" s="4">
        <v>42401</v>
      </c>
      <c r="E126" s="3">
        <v>71</v>
      </c>
      <c r="F126" s="3">
        <v>1</v>
      </c>
      <c r="G126" s="9">
        <v>85.92</v>
      </c>
      <c r="H126" s="9">
        <v>17.079999999999998</v>
      </c>
      <c r="I126" s="22">
        <f t="shared" si="4"/>
        <v>0.24056338028169011</v>
      </c>
      <c r="J126" s="22" t="str">
        <f t="shared" si="5"/>
        <v>Low</v>
      </c>
      <c r="K126" s="24">
        <f t="shared" si="6"/>
        <v>85.92</v>
      </c>
      <c r="L126" s="27" t="str">
        <f t="shared" si="7"/>
        <v>Medium</v>
      </c>
    </row>
    <row r="127" spans="1:12" x14ac:dyDescent="0.2">
      <c r="A127" s="3" t="s">
        <v>133</v>
      </c>
      <c r="B127" s="3" t="s">
        <v>386</v>
      </c>
      <c r="C127" s="3" t="s">
        <v>313</v>
      </c>
      <c r="D127" s="4">
        <v>42370</v>
      </c>
      <c r="E127" s="3">
        <v>19</v>
      </c>
      <c r="F127" s="3">
        <v>2</v>
      </c>
      <c r="G127" s="9">
        <v>85.65</v>
      </c>
      <c r="H127" s="9">
        <v>18.420000000000002</v>
      </c>
      <c r="I127" s="22">
        <f t="shared" si="4"/>
        <v>0.96947368421052638</v>
      </c>
      <c r="J127" s="22" t="str">
        <f t="shared" si="5"/>
        <v>Medium</v>
      </c>
      <c r="K127" s="24">
        <f t="shared" si="6"/>
        <v>42.825000000000003</v>
      </c>
      <c r="L127" s="27" t="str">
        <f t="shared" si="7"/>
        <v>Low</v>
      </c>
    </row>
    <row r="128" spans="1:12" x14ac:dyDescent="0.2">
      <c r="A128" s="3" t="s">
        <v>134</v>
      </c>
      <c r="B128" s="3" t="s">
        <v>388</v>
      </c>
      <c r="C128" s="3" t="s">
        <v>313</v>
      </c>
      <c r="D128" s="4">
        <v>42370</v>
      </c>
      <c r="E128" s="3">
        <v>13</v>
      </c>
      <c r="F128" s="3">
        <v>1</v>
      </c>
      <c r="G128" s="9">
        <v>84</v>
      </c>
      <c r="H128" s="9">
        <v>10.11</v>
      </c>
      <c r="I128" s="22">
        <f t="shared" si="4"/>
        <v>0.77769230769230768</v>
      </c>
      <c r="J128" s="22" t="str">
        <f t="shared" si="5"/>
        <v>Medium</v>
      </c>
      <c r="K128" s="24">
        <f t="shared" si="6"/>
        <v>84</v>
      </c>
      <c r="L128" s="27" t="str">
        <f t="shared" si="7"/>
        <v>Medium</v>
      </c>
    </row>
    <row r="129" spans="1:12" x14ac:dyDescent="0.2">
      <c r="A129" s="3" t="s">
        <v>135</v>
      </c>
      <c r="B129" s="3" t="s">
        <v>22</v>
      </c>
      <c r="C129" s="3" t="s">
        <v>313</v>
      </c>
      <c r="D129" s="4">
        <v>42370</v>
      </c>
      <c r="E129" s="3">
        <v>20</v>
      </c>
      <c r="F129" s="3">
        <v>1</v>
      </c>
      <c r="G129" s="9">
        <v>83</v>
      </c>
      <c r="H129" s="9">
        <v>28.19</v>
      </c>
      <c r="I129" s="22">
        <f t="shared" si="4"/>
        <v>1.4095</v>
      </c>
      <c r="J129" s="22" t="str">
        <f t="shared" si="5"/>
        <v>Medium</v>
      </c>
      <c r="K129" s="24">
        <f t="shared" si="6"/>
        <v>83</v>
      </c>
      <c r="L129" s="27" t="str">
        <f t="shared" si="7"/>
        <v>Medium</v>
      </c>
    </row>
    <row r="130" spans="1:12" x14ac:dyDescent="0.2">
      <c r="A130" s="3" t="s">
        <v>136</v>
      </c>
      <c r="B130" s="3" t="s">
        <v>237</v>
      </c>
      <c r="C130" s="3" t="s">
        <v>313</v>
      </c>
      <c r="D130" s="4">
        <v>42430</v>
      </c>
      <c r="E130" s="3">
        <v>16</v>
      </c>
      <c r="F130" s="3">
        <v>1</v>
      </c>
      <c r="G130" s="9">
        <v>82</v>
      </c>
      <c r="H130" s="9">
        <v>27.16</v>
      </c>
      <c r="I130" s="22">
        <f t="shared" si="4"/>
        <v>1.6975</v>
      </c>
      <c r="J130" s="22" t="str">
        <f t="shared" si="5"/>
        <v>High</v>
      </c>
      <c r="K130" s="24">
        <f t="shared" si="6"/>
        <v>82</v>
      </c>
      <c r="L130" s="27" t="str">
        <f t="shared" si="7"/>
        <v>Medium</v>
      </c>
    </row>
    <row r="131" spans="1:12" x14ac:dyDescent="0.2">
      <c r="A131" s="3" t="s">
        <v>137</v>
      </c>
      <c r="B131" s="3" t="s">
        <v>237</v>
      </c>
      <c r="C131" s="3" t="s">
        <v>340</v>
      </c>
      <c r="D131" s="4">
        <v>42370</v>
      </c>
      <c r="E131" s="3">
        <v>47</v>
      </c>
      <c r="F131" s="3">
        <v>1</v>
      </c>
      <c r="G131" s="9">
        <v>80</v>
      </c>
      <c r="H131" s="9">
        <v>14.46</v>
      </c>
      <c r="I131" s="22">
        <f t="shared" ref="I131:I194" si="8">IF(E131&gt;0,H131/E131,"")</f>
        <v>0.30765957446808512</v>
      </c>
      <c r="J131" s="22" t="str">
        <f t="shared" ref="J131:J194" si="9">IF(ISNUMBER(I131),IF(I131&lt;=0.5,"Low",IF(I131&lt;=1.5,"Medium","High")),"Untested")</f>
        <v>Low</v>
      </c>
      <c r="K131" s="24">
        <f t="shared" ref="K131:K194" si="10">IF(G131&gt;0,G131/F131,"")</f>
        <v>80</v>
      </c>
      <c r="L131" s="27" t="str">
        <f t="shared" ref="L131:L194" si="11">IF(ISNUMBER(K131),IF(K131&lt;=75,"Low",IF(K131&lt;=200,"Medium","High")),"Untested")</f>
        <v>Medium</v>
      </c>
    </row>
    <row r="132" spans="1:12" x14ac:dyDescent="0.2">
      <c r="A132" s="3" t="s">
        <v>141</v>
      </c>
      <c r="B132" s="3" t="s">
        <v>386</v>
      </c>
      <c r="C132" s="3" t="s">
        <v>313</v>
      </c>
      <c r="D132" s="4">
        <v>42430</v>
      </c>
      <c r="E132" s="3">
        <v>12</v>
      </c>
      <c r="F132" s="3">
        <v>1</v>
      </c>
      <c r="G132" s="9">
        <v>79</v>
      </c>
      <c r="H132" s="9">
        <v>9.65</v>
      </c>
      <c r="I132" s="22">
        <f t="shared" si="8"/>
        <v>0.8041666666666667</v>
      </c>
      <c r="J132" s="22" t="str">
        <f t="shared" si="9"/>
        <v>Medium</v>
      </c>
      <c r="K132" s="24">
        <f t="shared" si="10"/>
        <v>79</v>
      </c>
      <c r="L132" s="27" t="str">
        <f t="shared" si="11"/>
        <v>Medium</v>
      </c>
    </row>
    <row r="133" spans="1:12" x14ac:dyDescent="0.2">
      <c r="A133" s="3" t="s">
        <v>138</v>
      </c>
      <c r="B133" s="3" t="s">
        <v>385</v>
      </c>
      <c r="C133" s="3" t="s">
        <v>364</v>
      </c>
      <c r="D133" s="4">
        <v>42370</v>
      </c>
      <c r="E133" s="3">
        <v>68</v>
      </c>
      <c r="F133" s="3">
        <v>1</v>
      </c>
      <c r="G133" s="9">
        <v>79</v>
      </c>
      <c r="H133" s="9">
        <v>41.83</v>
      </c>
      <c r="I133" s="22">
        <f t="shared" si="8"/>
        <v>0.61514705882352938</v>
      </c>
      <c r="J133" s="22" t="str">
        <f t="shared" si="9"/>
        <v>Medium</v>
      </c>
      <c r="K133" s="24">
        <f t="shared" si="10"/>
        <v>79</v>
      </c>
      <c r="L133" s="27" t="str">
        <f t="shared" si="11"/>
        <v>Medium</v>
      </c>
    </row>
    <row r="134" spans="1:12" x14ac:dyDescent="0.2">
      <c r="A134" s="3" t="s">
        <v>140</v>
      </c>
      <c r="B134" s="3" t="s">
        <v>22</v>
      </c>
      <c r="C134" s="3" t="s">
        <v>383</v>
      </c>
      <c r="D134" s="4">
        <v>42401</v>
      </c>
      <c r="E134" s="3">
        <v>69</v>
      </c>
      <c r="F134" s="3">
        <v>1</v>
      </c>
      <c r="G134" s="9">
        <v>79</v>
      </c>
      <c r="H134" s="9">
        <v>88.44</v>
      </c>
      <c r="I134" s="22">
        <f t="shared" si="8"/>
        <v>1.2817391304347825</v>
      </c>
      <c r="J134" s="22" t="str">
        <f t="shared" si="9"/>
        <v>Medium</v>
      </c>
      <c r="K134" s="24">
        <f t="shared" si="10"/>
        <v>79</v>
      </c>
      <c r="L134" s="27" t="str">
        <f t="shared" si="11"/>
        <v>Medium</v>
      </c>
    </row>
    <row r="135" spans="1:12" x14ac:dyDescent="0.2">
      <c r="A135" s="3" t="s">
        <v>139</v>
      </c>
      <c r="B135" s="3" t="s">
        <v>237</v>
      </c>
      <c r="C135" s="3" t="s">
        <v>383</v>
      </c>
      <c r="D135" s="4">
        <v>42370</v>
      </c>
      <c r="E135" s="3">
        <v>6</v>
      </c>
      <c r="F135" s="3">
        <v>1</v>
      </c>
      <c r="G135" s="9">
        <v>79</v>
      </c>
      <c r="H135" s="9">
        <v>8.89</v>
      </c>
      <c r="I135" s="22">
        <f t="shared" si="8"/>
        <v>1.4816666666666667</v>
      </c>
      <c r="J135" s="22" t="str">
        <f t="shared" si="9"/>
        <v>Medium</v>
      </c>
      <c r="K135" s="24">
        <f t="shared" si="10"/>
        <v>79</v>
      </c>
      <c r="L135" s="27" t="str">
        <f t="shared" si="11"/>
        <v>Medium</v>
      </c>
    </row>
    <row r="136" spans="1:12" x14ac:dyDescent="0.2">
      <c r="A136" s="3" t="s">
        <v>143</v>
      </c>
      <c r="B136" s="3" t="s">
        <v>386</v>
      </c>
      <c r="C136" s="3" t="s">
        <v>341</v>
      </c>
      <c r="D136" s="4">
        <v>42370</v>
      </c>
      <c r="E136" s="3">
        <v>44</v>
      </c>
      <c r="F136" s="3">
        <v>1</v>
      </c>
      <c r="G136" s="9">
        <v>78</v>
      </c>
      <c r="H136" s="9">
        <v>10.38</v>
      </c>
      <c r="I136" s="22">
        <f t="shared" si="8"/>
        <v>0.23590909090909093</v>
      </c>
      <c r="J136" s="22" t="str">
        <f t="shared" si="9"/>
        <v>Low</v>
      </c>
      <c r="K136" s="24">
        <f t="shared" si="10"/>
        <v>78</v>
      </c>
      <c r="L136" s="27" t="str">
        <f t="shared" si="11"/>
        <v>Medium</v>
      </c>
    </row>
    <row r="137" spans="1:12" x14ac:dyDescent="0.2">
      <c r="A137" s="3" t="s">
        <v>142</v>
      </c>
      <c r="B137" s="3" t="s">
        <v>22</v>
      </c>
      <c r="C137" s="3" t="s">
        <v>313</v>
      </c>
      <c r="D137" s="4">
        <v>42401</v>
      </c>
      <c r="E137" s="3">
        <v>73</v>
      </c>
      <c r="F137" s="3">
        <v>1</v>
      </c>
      <c r="G137" s="9">
        <v>78</v>
      </c>
      <c r="H137" s="9">
        <v>67.040000000000006</v>
      </c>
      <c r="I137" s="22">
        <f t="shared" si="8"/>
        <v>0.91835616438356171</v>
      </c>
      <c r="J137" s="22" t="str">
        <f t="shared" si="9"/>
        <v>Medium</v>
      </c>
      <c r="K137" s="24">
        <f t="shared" si="10"/>
        <v>78</v>
      </c>
      <c r="L137" s="27" t="str">
        <f t="shared" si="11"/>
        <v>Medium</v>
      </c>
    </row>
    <row r="138" spans="1:12" x14ac:dyDescent="0.2">
      <c r="A138" s="3" t="s">
        <v>144</v>
      </c>
      <c r="B138" s="3" t="s">
        <v>22</v>
      </c>
      <c r="C138" s="3" t="s">
        <v>313</v>
      </c>
      <c r="D138" s="4">
        <v>42370</v>
      </c>
      <c r="E138" s="3">
        <v>26</v>
      </c>
      <c r="F138" s="3">
        <v>1</v>
      </c>
      <c r="G138" s="9">
        <v>77.5</v>
      </c>
      <c r="H138" s="9">
        <v>30.8</v>
      </c>
      <c r="I138" s="22">
        <f t="shared" si="8"/>
        <v>1.1846153846153846</v>
      </c>
      <c r="J138" s="22" t="str">
        <f t="shared" si="9"/>
        <v>Medium</v>
      </c>
      <c r="K138" s="24">
        <f t="shared" si="10"/>
        <v>77.5</v>
      </c>
      <c r="L138" s="27" t="str">
        <f t="shared" si="11"/>
        <v>Medium</v>
      </c>
    </row>
    <row r="139" spans="1:12" x14ac:dyDescent="0.2">
      <c r="A139" s="3" t="s">
        <v>145</v>
      </c>
      <c r="B139" s="3" t="s">
        <v>386</v>
      </c>
      <c r="C139" s="3" t="s">
        <v>340</v>
      </c>
      <c r="D139" s="4">
        <v>42430</v>
      </c>
      <c r="E139" s="3">
        <v>10</v>
      </c>
      <c r="F139" s="3">
        <v>1</v>
      </c>
      <c r="G139" s="9">
        <v>76</v>
      </c>
      <c r="H139" s="9">
        <v>8.56</v>
      </c>
      <c r="I139" s="22">
        <f t="shared" si="8"/>
        <v>0.85600000000000009</v>
      </c>
      <c r="J139" s="22" t="str">
        <f t="shared" si="9"/>
        <v>Medium</v>
      </c>
      <c r="K139" s="24">
        <f t="shared" si="10"/>
        <v>76</v>
      </c>
      <c r="L139" s="27" t="str">
        <f t="shared" si="11"/>
        <v>Medium</v>
      </c>
    </row>
    <row r="140" spans="1:12" x14ac:dyDescent="0.2">
      <c r="A140" s="3" t="s">
        <v>146</v>
      </c>
      <c r="B140" s="3" t="s">
        <v>386</v>
      </c>
      <c r="C140" s="3" t="s">
        <v>341</v>
      </c>
      <c r="D140" s="4">
        <v>42370</v>
      </c>
      <c r="E140" s="3">
        <v>32</v>
      </c>
      <c r="F140" s="3">
        <v>1</v>
      </c>
      <c r="G140" s="9">
        <v>75.98</v>
      </c>
      <c r="H140" s="9">
        <v>50.42</v>
      </c>
      <c r="I140" s="22">
        <f t="shared" si="8"/>
        <v>1.5756250000000001</v>
      </c>
      <c r="J140" s="22" t="str">
        <f t="shared" si="9"/>
        <v>High</v>
      </c>
      <c r="K140" s="24">
        <f t="shared" si="10"/>
        <v>75.98</v>
      </c>
      <c r="L140" s="27" t="str">
        <f t="shared" si="11"/>
        <v>Medium</v>
      </c>
    </row>
    <row r="141" spans="1:12" x14ac:dyDescent="0.2">
      <c r="A141" s="3" t="s">
        <v>148</v>
      </c>
      <c r="B141" s="3" t="s">
        <v>237</v>
      </c>
      <c r="C141" s="3" t="s">
        <v>313</v>
      </c>
      <c r="D141" s="4">
        <v>42370</v>
      </c>
      <c r="E141" s="3">
        <v>27</v>
      </c>
      <c r="F141" s="3">
        <v>2</v>
      </c>
      <c r="G141" s="9">
        <v>75</v>
      </c>
      <c r="H141" s="9">
        <v>68.91</v>
      </c>
      <c r="I141" s="22">
        <f t="shared" si="8"/>
        <v>2.5522222222222219</v>
      </c>
      <c r="J141" s="22" t="str">
        <f t="shared" si="9"/>
        <v>High</v>
      </c>
      <c r="K141" s="24">
        <f t="shared" si="10"/>
        <v>37.5</v>
      </c>
      <c r="L141" s="27" t="str">
        <f t="shared" si="11"/>
        <v>Low</v>
      </c>
    </row>
    <row r="142" spans="1:12" x14ac:dyDescent="0.2">
      <c r="A142" s="3" t="s">
        <v>147</v>
      </c>
      <c r="B142" s="3" t="s">
        <v>237</v>
      </c>
      <c r="C142" s="3" t="s">
        <v>384</v>
      </c>
      <c r="D142" s="4">
        <v>42401</v>
      </c>
      <c r="E142" s="3">
        <v>54</v>
      </c>
      <c r="F142" s="3">
        <v>1</v>
      </c>
      <c r="G142" s="9">
        <v>75</v>
      </c>
      <c r="H142" s="9">
        <v>13.55</v>
      </c>
      <c r="I142" s="22">
        <f t="shared" si="8"/>
        <v>0.25092592592592594</v>
      </c>
      <c r="J142" s="22" t="str">
        <f t="shared" si="9"/>
        <v>Low</v>
      </c>
      <c r="K142" s="24">
        <f t="shared" si="10"/>
        <v>75</v>
      </c>
      <c r="L142" s="27" t="str">
        <f t="shared" si="11"/>
        <v>Low</v>
      </c>
    </row>
    <row r="143" spans="1:12" x14ac:dyDescent="0.2">
      <c r="A143" s="3" t="s">
        <v>392</v>
      </c>
      <c r="B143" s="3" t="s">
        <v>386</v>
      </c>
      <c r="C143" s="3" t="s">
        <v>384</v>
      </c>
      <c r="D143" s="4">
        <v>42370</v>
      </c>
      <c r="E143" s="3">
        <v>42</v>
      </c>
      <c r="F143" s="3">
        <v>1</v>
      </c>
      <c r="G143" s="9">
        <v>74</v>
      </c>
      <c r="H143" s="9">
        <v>27.39</v>
      </c>
      <c r="I143" s="22">
        <f t="shared" si="8"/>
        <v>0.65214285714285714</v>
      </c>
      <c r="J143" s="22" t="str">
        <f t="shared" si="9"/>
        <v>Medium</v>
      </c>
      <c r="K143" s="24">
        <f t="shared" si="10"/>
        <v>74</v>
      </c>
      <c r="L143" s="27" t="str">
        <f t="shared" si="11"/>
        <v>Low</v>
      </c>
    </row>
    <row r="144" spans="1:12" x14ac:dyDescent="0.2">
      <c r="A144" s="3" t="s">
        <v>149</v>
      </c>
      <c r="B144" s="3" t="s">
        <v>386</v>
      </c>
      <c r="C144" s="3" t="s">
        <v>313</v>
      </c>
      <c r="D144" s="4">
        <v>42430</v>
      </c>
      <c r="E144" s="3">
        <v>9</v>
      </c>
      <c r="F144" s="3">
        <v>1</v>
      </c>
      <c r="G144" s="9">
        <v>74</v>
      </c>
      <c r="H144" s="9">
        <v>7.9</v>
      </c>
      <c r="I144" s="22">
        <f t="shared" si="8"/>
        <v>0.87777777777777777</v>
      </c>
      <c r="J144" s="22" t="str">
        <f t="shared" si="9"/>
        <v>Medium</v>
      </c>
      <c r="K144" s="24">
        <f t="shared" si="10"/>
        <v>74</v>
      </c>
      <c r="L144" s="27" t="str">
        <f t="shared" si="11"/>
        <v>Low</v>
      </c>
    </row>
    <row r="145" spans="1:12" x14ac:dyDescent="0.2">
      <c r="A145" s="3" t="s">
        <v>150</v>
      </c>
      <c r="B145" s="3" t="s">
        <v>386</v>
      </c>
      <c r="C145" s="3" t="s">
        <v>313</v>
      </c>
      <c r="D145" s="4">
        <v>42430</v>
      </c>
      <c r="E145" s="3">
        <v>135</v>
      </c>
      <c r="F145" s="3">
        <v>2</v>
      </c>
      <c r="G145" s="9">
        <v>74</v>
      </c>
      <c r="H145" s="9">
        <v>146.69</v>
      </c>
      <c r="I145" s="22">
        <f t="shared" si="8"/>
        <v>1.0865925925925926</v>
      </c>
      <c r="J145" s="22" t="str">
        <f t="shared" si="9"/>
        <v>Medium</v>
      </c>
      <c r="K145" s="24">
        <f t="shared" si="10"/>
        <v>37</v>
      </c>
      <c r="L145" s="27" t="str">
        <f t="shared" si="11"/>
        <v>Low</v>
      </c>
    </row>
    <row r="146" spans="1:12" x14ac:dyDescent="0.2">
      <c r="A146" s="3" t="s">
        <v>151</v>
      </c>
      <c r="B146" s="3" t="s">
        <v>386</v>
      </c>
      <c r="C146" s="3" t="s">
        <v>384</v>
      </c>
      <c r="D146" s="4">
        <v>42430</v>
      </c>
      <c r="E146" s="3">
        <v>26</v>
      </c>
      <c r="F146" s="3">
        <v>1</v>
      </c>
      <c r="G146" s="9">
        <v>72.98</v>
      </c>
      <c r="H146" s="9">
        <v>23.37</v>
      </c>
      <c r="I146" s="22">
        <f t="shared" si="8"/>
        <v>0.89884615384615385</v>
      </c>
      <c r="J146" s="22" t="str">
        <f t="shared" si="9"/>
        <v>Medium</v>
      </c>
      <c r="K146" s="24">
        <f t="shared" si="10"/>
        <v>72.98</v>
      </c>
      <c r="L146" s="27" t="str">
        <f t="shared" si="11"/>
        <v>Low</v>
      </c>
    </row>
    <row r="147" spans="1:12" x14ac:dyDescent="0.2">
      <c r="A147" s="3" t="s">
        <v>152</v>
      </c>
      <c r="B147" s="3" t="s">
        <v>237</v>
      </c>
      <c r="C147" s="3" t="s">
        <v>383</v>
      </c>
      <c r="D147" s="4">
        <v>42370</v>
      </c>
      <c r="E147" s="3">
        <v>3</v>
      </c>
      <c r="F147" s="3">
        <v>1</v>
      </c>
      <c r="G147" s="9">
        <v>69.989999999999995</v>
      </c>
      <c r="H147" s="9">
        <v>2.09</v>
      </c>
      <c r="I147" s="22">
        <f t="shared" si="8"/>
        <v>0.69666666666666666</v>
      </c>
      <c r="J147" s="22" t="str">
        <f t="shared" si="9"/>
        <v>Medium</v>
      </c>
      <c r="K147" s="24">
        <f t="shared" si="10"/>
        <v>69.989999999999995</v>
      </c>
      <c r="L147" s="27" t="str">
        <f t="shared" si="11"/>
        <v>Low</v>
      </c>
    </row>
    <row r="148" spans="1:12" x14ac:dyDescent="0.2">
      <c r="A148" s="3" t="s">
        <v>153</v>
      </c>
      <c r="B148" s="3" t="s">
        <v>386</v>
      </c>
      <c r="C148" s="3" t="s">
        <v>313</v>
      </c>
      <c r="D148" s="4">
        <v>42430</v>
      </c>
      <c r="E148" s="3">
        <v>39</v>
      </c>
      <c r="F148" s="3">
        <v>1</v>
      </c>
      <c r="G148" s="9">
        <v>68</v>
      </c>
      <c r="H148" s="9">
        <v>20.76</v>
      </c>
      <c r="I148" s="22">
        <f t="shared" si="8"/>
        <v>0.53230769230769237</v>
      </c>
      <c r="J148" s="22" t="str">
        <f t="shared" si="9"/>
        <v>Medium</v>
      </c>
      <c r="K148" s="24">
        <f t="shared" si="10"/>
        <v>68</v>
      </c>
      <c r="L148" s="27" t="str">
        <f t="shared" si="11"/>
        <v>Low</v>
      </c>
    </row>
    <row r="149" spans="1:12" x14ac:dyDescent="0.2">
      <c r="A149" s="3" t="s">
        <v>154</v>
      </c>
      <c r="B149" s="3" t="s">
        <v>22</v>
      </c>
      <c r="C149" s="3" t="s">
        <v>340</v>
      </c>
      <c r="D149" s="4">
        <v>42401</v>
      </c>
      <c r="E149" s="3">
        <v>10</v>
      </c>
      <c r="F149" s="3">
        <v>1</v>
      </c>
      <c r="G149" s="9">
        <v>67</v>
      </c>
      <c r="H149" s="9">
        <v>7.55</v>
      </c>
      <c r="I149" s="22">
        <f t="shared" si="8"/>
        <v>0.755</v>
      </c>
      <c r="J149" s="22" t="str">
        <f t="shared" si="9"/>
        <v>Medium</v>
      </c>
      <c r="K149" s="24">
        <f t="shared" si="10"/>
        <v>67</v>
      </c>
      <c r="L149" s="27" t="str">
        <f t="shared" si="11"/>
        <v>Low</v>
      </c>
    </row>
    <row r="150" spans="1:12" x14ac:dyDescent="0.2">
      <c r="A150" s="3" t="s">
        <v>155</v>
      </c>
      <c r="B150" s="3" t="s">
        <v>237</v>
      </c>
      <c r="C150" s="3" t="s">
        <v>313</v>
      </c>
      <c r="D150" s="4">
        <v>42401</v>
      </c>
      <c r="E150" s="3">
        <v>47</v>
      </c>
      <c r="F150" s="3">
        <v>1</v>
      </c>
      <c r="G150" s="9">
        <v>64</v>
      </c>
      <c r="H150" s="9">
        <v>81.900000000000006</v>
      </c>
      <c r="I150" s="22">
        <f t="shared" si="8"/>
        <v>1.7425531914893617</v>
      </c>
      <c r="J150" s="22" t="str">
        <f t="shared" si="9"/>
        <v>High</v>
      </c>
      <c r="K150" s="24">
        <f t="shared" si="10"/>
        <v>64</v>
      </c>
      <c r="L150" s="27" t="str">
        <f t="shared" si="11"/>
        <v>Low</v>
      </c>
    </row>
    <row r="151" spans="1:12" x14ac:dyDescent="0.2">
      <c r="A151" s="3" t="s">
        <v>157</v>
      </c>
      <c r="B151" s="3" t="s">
        <v>386</v>
      </c>
      <c r="C151" s="3" t="s">
        <v>313</v>
      </c>
      <c r="D151" s="4">
        <v>42430</v>
      </c>
      <c r="E151" s="3">
        <v>8</v>
      </c>
      <c r="F151" s="3">
        <v>1</v>
      </c>
      <c r="G151" s="9">
        <v>63.6</v>
      </c>
      <c r="H151" s="9">
        <v>0.92</v>
      </c>
      <c r="I151" s="22">
        <f t="shared" si="8"/>
        <v>0.115</v>
      </c>
      <c r="J151" s="22" t="str">
        <f t="shared" si="9"/>
        <v>Low</v>
      </c>
      <c r="K151" s="24">
        <f t="shared" si="10"/>
        <v>63.6</v>
      </c>
      <c r="L151" s="27" t="str">
        <f t="shared" si="11"/>
        <v>Low</v>
      </c>
    </row>
    <row r="152" spans="1:12" x14ac:dyDescent="0.2">
      <c r="A152" s="3" t="s">
        <v>158</v>
      </c>
      <c r="B152" s="3" t="s">
        <v>385</v>
      </c>
      <c r="C152" s="3" t="s">
        <v>364</v>
      </c>
      <c r="D152" s="4">
        <v>42401</v>
      </c>
      <c r="E152" s="3">
        <v>14</v>
      </c>
      <c r="F152" s="3">
        <v>1</v>
      </c>
      <c r="G152" s="9">
        <v>63.5</v>
      </c>
      <c r="H152" s="9">
        <v>4.21</v>
      </c>
      <c r="I152" s="22">
        <f t="shared" si="8"/>
        <v>0.30071428571428571</v>
      </c>
      <c r="J152" s="22" t="str">
        <f t="shared" si="9"/>
        <v>Low</v>
      </c>
      <c r="K152" s="24">
        <f t="shared" si="10"/>
        <v>63.5</v>
      </c>
      <c r="L152" s="27" t="str">
        <f t="shared" si="11"/>
        <v>Low</v>
      </c>
    </row>
    <row r="153" spans="1:12" x14ac:dyDescent="0.2">
      <c r="A153" s="3" t="s">
        <v>159</v>
      </c>
      <c r="B153" s="3" t="s">
        <v>386</v>
      </c>
      <c r="C153" s="3" t="s">
        <v>384</v>
      </c>
      <c r="D153" s="4">
        <v>42401</v>
      </c>
      <c r="E153" s="3">
        <v>9</v>
      </c>
      <c r="F153" s="3">
        <v>1</v>
      </c>
      <c r="G153" s="9">
        <v>63</v>
      </c>
      <c r="H153" s="9">
        <v>4.37</v>
      </c>
      <c r="I153" s="22">
        <f t="shared" si="8"/>
        <v>0.48555555555555557</v>
      </c>
      <c r="J153" s="22" t="str">
        <f t="shared" si="9"/>
        <v>Low</v>
      </c>
      <c r="K153" s="24">
        <f t="shared" si="10"/>
        <v>63</v>
      </c>
      <c r="L153" s="27" t="str">
        <f t="shared" si="11"/>
        <v>Low</v>
      </c>
    </row>
    <row r="154" spans="1:12" x14ac:dyDescent="0.2">
      <c r="A154" s="3" t="s">
        <v>43</v>
      </c>
      <c r="B154" s="3" t="s">
        <v>386</v>
      </c>
      <c r="C154" s="3" t="s">
        <v>383</v>
      </c>
      <c r="D154" s="4">
        <v>42430</v>
      </c>
      <c r="E154" s="3">
        <v>13</v>
      </c>
      <c r="F154" s="3">
        <v>1</v>
      </c>
      <c r="G154" s="9">
        <v>63</v>
      </c>
      <c r="H154" s="9">
        <v>7.59</v>
      </c>
      <c r="I154" s="22">
        <f t="shared" si="8"/>
        <v>0.58384615384615379</v>
      </c>
      <c r="J154" s="22" t="str">
        <f t="shared" si="9"/>
        <v>Medium</v>
      </c>
      <c r="K154" s="24">
        <f t="shared" si="10"/>
        <v>63</v>
      </c>
      <c r="L154" s="27" t="str">
        <f t="shared" si="11"/>
        <v>Low</v>
      </c>
    </row>
    <row r="155" spans="1:12" x14ac:dyDescent="0.2">
      <c r="A155" s="3" t="s">
        <v>160</v>
      </c>
      <c r="B155" s="3" t="s">
        <v>237</v>
      </c>
      <c r="C155" s="3" t="s">
        <v>313</v>
      </c>
      <c r="D155" s="4">
        <v>42401</v>
      </c>
      <c r="E155" s="3">
        <v>127</v>
      </c>
      <c r="F155" s="3">
        <v>1</v>
      </c>
      <c r="G155" s="9">
        <v>62</v>
      </c>
      <c r="H155" s="9">
        <v>115.32</v>
      </c>
      <c r="I155" s="22">
        <f t="shared" si="8"/>
        <v>0.90803149606299205</v>
      </c>
      <c r="J155" s="22" t="str">
        <f t="shared" si="9"/>
        <v>Medium</v>
      </c>
      <c r="K155" s="24">
        <f t="shared" si="10"/>
        <v>62</v>
      </c>
      <c r="L155" s="27" t="str">
        <f t="shared" si="11"/>
        <v>Low</v>
      </c>
    </row>
    <row r="156" spans="1:12" x14ac:dyDescent="0.2">
      <c r="A156" s="3" t="s">
        <v>161</v>
      </c>
      <c r="B156" s="3" t="s">
        <v>386</v>
      </c>
      <c r="C156" s="3" t="s">
        <v>313</v>
      </c>
      <c r="D156" s="4">
        <v>42370</v>
      </c>
      <c r="E156" s="3">
        <v>68</v>
      </c>
      <c r="F156" s="3">
        <v>2</v>
      </c>
      <c r="G156" s="9">
        <v>62</v>
      </c>
      <c r="H156" s="9">
        <v>16.12</v>
      </c>
      <c r="I156" s="22">
        <f t="shared" si="8"/>
        <v>0.23705882352941177</v>
      </c>
      <c r="J156" s="22" t="str">
        <f t="shared" si="9"/>
        <v>Low</v>
      </c>
      <c r="K156" s="24">
        <f t="shared" si="10"/>
        <v>31</v>
      </c>
      <c r="L156" s="27" t="str">
        <f t="shared" si="11"/>
        <v>Low</v>
      </c>
    </row>
    <row r="157" spans="1:12" x14ac:dyDescent="0.2">
      <c r="A157" s="3" t="s">
        <v>162</v>
      </c>
      <c r="B157" s="3" t="s">
        <v>22</v>
      </c>
      <c r="C157" s="3" t="s">
        <v>313</v>
      </c>
      <c r="D157" s="4">
        <v>42430</v>
      </c>
      <c r="E157" s="3">
        <v>246</v>
      </c>
      <c r="F157" s="3">
        <v>3</v>
      </c>
      <c r="G157" s="9">
        <v>61.2</v>
      </c>
      <c r="H157" s="9">
        <v>186.6</v>
      </c>
      <c r="I157" s="22">
        <f t="shared" si="8"/>
        <v>0.75853658536585367</v>
      </c>
      <c r="J157" s="22" t="str">
        <f t="shared" si="9"/>
        <v>Medium</v>
      </c>
      <c r="K157" s="24">
        <f t="shared" si="10"/>
        <v>20.400000000000002</v>
      </c>
      <c r="L157" s="27" t="str">
        <f t="shared" si="11"/>
        <v>Low</v>
      </c>
    </row>
    <row r="158" spans="1:12" x14ac:dyDescent="0.2">
      <c r="A158" s="3" t="s">
        <v>164</v>
      </c>
      <c r="B158" s="3" t="s">
        <v>386</v>
      </c>
      <c r="C158" s="3" t="s">
        <v>341</v>
      </c>
      <c r="D158" s="4">
        <v>42430</v>
      </c>
      <c r="E158" s="3">
        <v>31</v>
      </c>
      <c r="F158" s="3">
        <v>2</v>
      </c>
      <c r="G158" s="9">
        <v>61</v>
      </c>
      <c r="H158" s="9">
        <v>7.83</v>
      </c>
      <c r="I158" s="22">
        <f t="shared" si="8"/>
        <v>0.25258064516129031</v>
      </c>
      <c r="J158" s="22" t="str">
        <f t="shared" si="9"/>
        <v>Low</v>
      </c>
      <c r="K158" s="24">
        <f t="shared" si="10"/>
        <v>30.5</v>
      </c>
      <c r="L158" s="27" t="str">
        <f t="shared" si="11"/>
        <v>Low</v>
      </c>
    </row>
    <row r="159" spans="1:12" x14ac:dyDescent="0.2">
      <c r="A159" s="3" t="s">
        <v>163</v>
      </c>
      <c r="B159" s="3" t="s">
        <v>386</v>
      </c>
      <c r="C159" s="3" t="s">
        <v>341</v>
      </c>
      <c r="D159" s="4">
        <v>42430</v>
      </c>
      <c r="E159" s="3">
        <v>6</v>
      </c>
      <c r="F159" s="3">
        <v>1</v>
      </c>
      <c r="G159" s="9">
        <v>61</v>
      </c>
      <c r="H159" s="9">
        <v>2.1</v>
      </c>
      <c r="I159" s="22">
        <f t="shared" si="8"/>
        <v>0.35000000000000003</v>
      </c>
      <c r="J159" s="22" t="str">
        <f t="shared" si="9"/>
        <v>Low</v>
      </c>
      <c r="K159" s="24">
        <f t="shared" si="10"/>
        <v>61</v>
      </c>
      <c r="L159" s="27" t="str">
        <f t="shared" si="11"/>
        <v>Low</v>
      </c>
    </row>
    <row r="160" spans="1:12" x14ac:dyDescent="0.2">
      <c r="A160" s="3" t="s">
        <v>165</v>
      </c>
      <c r="B160" s="3" t="s">
        <v>237</v>
      </c>
      <c r="C160" s="3" t="s">
        <v>387</v>
      </c>
      <c r="D160" s="4">
        <v>42430</v>
      </c>
      <c r="E160" s="3">
        <v>38</v>
      </c>
      <c r="F160" s="3">
        <v>1</v>
      </c>
      <c r="G160" s="9">
        <v>60</v>
      </c>
      <c r="H160" s="9">
        <v>47.36</v>
      </c>
      <c r="I160" s="22">
        <f t="shared" si="8"/>
        <v>1.2463157894736843</v>
      </c>
      <c r="J160" s="22" t="str">
        <f t="shared" si="9"/>
        <v>Medium</v>
      </c>
      <c r="K160" s="24">
        <f t="shared" si="10"/>
        <v>60</v>
      </c>
      <c r="L160" s="27" t="str">
        <f t="shared" si="11"/>
        <v>Low</v>
      </c>
    </row>
    <row r="161" spans="1:12" x14ac:dyDescent="0.2">
      <c r="A161" s="3" t="s">
        <v>69</v>
      </c>
      <c r="B161" s="3" t="s">
        <v>22</v>
      </c>
      <c r="C161" s="3" t="s">
        <v>383</v>
      </c>
      <c r="D161" s="4">
        <v>42430</v>
      </c>
      <c r="E161" s="3">
        <v>10</v>
      </c>
      <c r="F161" s="3">
        <v>1</v>
      </c>
      <c r="G161" s="9">
        <v>59</v>
      </c>
      <c r="H161" s="9">
        <v>30.99</v>
      </c>
      <c r="I161" s="22">
        <f t="shared" si="8"/>
        <v>3.0989999999999998</v>
      </c>
      <c r="J161" s="22" t="str">
        <f t="shared" si="9"/>
        <v>High</v>
      </c>
      <c r="K161" s="24">
        <f t="shared" si="10"/>
        <v>59</v>
      </c>
      <c r="L161" s="27" t="str">
        <f t="shared" si="11"/>
        <v>Low</v>
      </c>
    </row>
    <row r="162" spans="1:12" x14ac:dyDescent="0.2">
      <c r="A162" s="3" t="s">
        <v>167</v>
      </c>
      <c r="B162" s="3" t="s">
        <v>237</v>
      </c>
      <c r="C162" s="3" t="s">
        <v>313</v>
      </c>
      <c r="D162" s="4">
        <v>42401</v>
      </c>
      <c r="E162" s="3">
        <v>3</v>
      </c>
      <c r="F162" s="3">
        <v>1</v>
      </c>
      <c r="G162" s="9">
        <v>58.5</v>
      </c>
      <c r="H162" s="9">
        <v>3.2</v>
      </c>
      <c r="I162" s="22">
        <f t="shared" si="8"/>
        <v>1.0666666666666667</v>
      </c>
      <c r="J162" s="22" t="str">
        <f t="shared" si="9"/>
        <v>Medium</v>
      </c>
      <c r="K162" s="24">
        <f t="shared" si="10"/>
        <v>58.5</v>
      </c>
      <c r="L162" s="27" t="str">
        <f t="shared" si="11"/>
        <v>Low</v>
      </c>
    </row>
    <row r="163" spans="1:12" x14ac:dyDescent="0.2">
      <c r="A163" s="3" t="s">
        <v>168</v>
      </c>
      <c r="B163" s="3" t="s">
        <v>237</v>
      </c>
      <c r="C163" s="3" t="s">
        <v>313</v>
      </c>
      <c r="D163" s="4">
        <v>42401</v>
      </c>
      <c r="E163" s="3">
        <v>36</v>
      </c>
      <c r="F163" s="3">
        <v>1</v>
      </c>
      <c r="G163" s="9">
        <v>58</v>
      </c>
      <c r="H163" s="9">
        <v>67.45</v>
      </c>
      <c r="I163" s="22">
        <f t="shared" si="8"/>
        <v>1.8736111111111111</v>
      </c>
      <c r="J163" s="22" t="str">
        <f t="shared" si="9"/>
        <v>High</v>
      </c>
      <c r="K163" s="24">
        <f t="shared" si="10"/>
        <v>58</v>
      </c>
      <c r="L163" s="27" t="str">
        <f t="shared" si="11"/>
        <v>Low</v>
      </c>
    </row>
    <row r="164" spans="1:12" x14ac:dyDescent="0.2">
      <c r="A164" s="3" t="s">
        <v>166</v>
      </c>
      <c r="B164" s="3" t="s">
        <v>385</v>
      </c>
      <c r="C164" s="3" t="s">
        <v>383</v>
      </c>
      <c r="D164" s="4">
        <v>42370</v>
      </c>
      <c r="E164" s="3">
        <v>7</v>
      </c>
      <c r="F164" s="3">
        <v>1</v>
      </c>
      <c r="G164" s="9">
        <v>57</v>
      </c>
      <c r="H164" s="9">
        <v>36.229999999999997</v>
      </c>
      <c r="I164" s="22">
        <f t="shared" si="8"/>
        <v>5.1757142857142853</v>
      </c>
      <c r="J164" s="22" t="str">
        <f t="shared" si="9"/>
        <v>High</v>
      </c>
      <c r="K164" s="24">
        <f t="shared" si="10"/>
        <v>57</v>
      </c>
      <c r="L164" s="27" t="str">
        <f t="shared" si="11"/>
        <v>Low</v>
      </c>
    </row>
    <row r="165" spans="1:12" x14ac:dyDescent="0.2">
      <c r="A165" s="3" t="s">
        <v>169</v>
      </c>
      <c r="B165" s="3" t="s">
        <v>22</v>
      </c>
      <c r="C165" s="3" t="s">
        <v>313</v>
      </c>
      <c r="D165" s="4">
        <v>42370</v>
      </c>
      <c r="E165" s="3">
        <v>17</v>
      </c>
      <c r="F165" s="3">
        <v>1</v>
      </c>
      <c r="G165" s="9">
        <v>56.8</v>
      </c>
      <c r="H165" s="9">
        <v>27.94</v>
      </c>
      <c r="I165" s="22">
        <f t="shared" si="8"/>
        <v>1.6435294117647059</v>
      </c>
      <c r="J165" s="22" t="str">
        <f t="shared" si="9"/>
        <v>High</v>
      </c>
      <c r="K165" s="24">
        <f t="shared" si="10"/>
        <v>56.8</v>
      </c>
      <c r="L165" s="27" t="str">
        <f t="shared" si="11"/>
        <v>Low</v>
      </c>
    </row>
    <row r="166" spans="1:12" x14ac:dyDescent="0.2">
      <c r="A166" s="3" t="s">
        <v>170</v>
      </c>
      <c r="B166" s="3" t="s">
        <v>237</v>
      </c>
      <c r="C166" s="3" t="s">
        <v>313</v>
      </c>
      <c r="D166" s="4">
        <v>42401</v>
      </c>
      <c r="E166" s="3">
        <v>15</v>
      </c>
      <c r="F166" s="3">
        <v>1</v>
      </c>
      <c r="G166" s="9">
        <v>55.96</v>
      </c>
      <c r="H166" s="9">
        <v>26.72</v>
      </c>
      <c r="I166" s="22">
        <f t="shared" si="8"/>
        <v>1.7813333333333332</v>
      </c>
      <c r="J166" s="22" t="str">
        <f t="shared" si="9"/>
        <v>High</v>
      </c>
      <c r="K166" s="24">
        <f t="shared" si="10"/>
        <v>55.96</v>
      </c>
      <c r="L166" s="27" t="str">
        <f t="shared" si="11"/>
        <v>Low</v>
      </c>
    </row>
    <row r="167" spans="1:12" x14ac:dyDescent="0.2">
      <c r="A167" s="3" t="s">
        <v>171</v>
      </c>
      <c r="B167" s="3" t="s">
        <v>386</v>
      </c>
      <c r="C167" s="3" t="s">
        <v>341</v>
      </c>
      <c r="D167" s="4">
        <v>42370</v>
      </c>
      <c r="E167" s="3">
        <v>17</v>
      </c>
      <c r="F167" s="3">
        <v>1</v>
      </c>
      <c r="G167" s="9">
        <v>55.5</v>
      </c>
      <c r="H167" s="9">
        <v>7.61</v>
      </c>
      <c r="I167" s="22">
        <f t="shared" si="8"/>
        <v>0.44764705882352945</v>
      </c>
      <c r="J167" s="22" t="str">
        <f t="shared" si="9"/>
        <v>Low</v>
      </c>
      <c r="K167" s="24">
        <f t="shared" si="10"/>
        <v>55.5</v>
      </c>
      <c r="L167" s="27" t="str">
        <f t="shared" si="11"/>
        <v>Low</v>
      </c>
    </row>
    <row r="168" spans="1:12" x14ac:dyDescent="0.2">
      <c r="A168" s="3" t="s">
        <v>172</v>
      </c>
      <c r="B168" s="3" t="s">
        <v>386</v>
      </c>
      <c r="C168" s="3" t="s">
        <v>384</v>
      </c>
      <c r="D168" s="4">
        <v>42430</v>
      </c>
      <c r="E168" s="3">
        <v>109</v>
      </c>
      <c r="F168" s="3">
        <v>1</v>
      </c>
      <c r="G168" s="9">
        <v>55.3</v>
      </c>
      <c r="H168" s="9">
        <v>117.9</v>
      </c>
      <c r="I168" s="22">
        <f t="shared" si="8"/>
        <v>1.081651376146789</v>
      </c>
      <c r="J168" s="22" t="str">
        <f t="shared" si="9"/>
        <v>Medium</v>
      </c>
      <c r="K168" s="24">
        <f t="shared" si="10"/>
        <v>55.3</v>
      </c>
      <c r="L168" s="27" t="str">
        <f t="shared" si="11"/>
        <v>Low</v>
      </c>
    </row>
    <row r="169" spans="1:12" x14ac:dyDescent="0.2">
      <c r="A169" s="3" t="s">
        <v>173</v>
      </c>
      <c r="B169" s="3" t="s">
        <v>386</v>
      </c>
      <c r="C169" s="3" t="s">
        <v>313</v>
      </c>
      <c r="D169" s="4">
        <v>42370</v>
      </c>
      <c r="E169" s="3">
        <v>5</v>
      </c>
      <c r="F169" s="3">
        <v>1</v>
      </c>
      <c r="G169" s="9">
        <v>55</v>
      </c>
      <c r="H169" s="9">
        <v>9.66</v>
      </c>
      <c r="I169" s="22">
        <f t="shared" si="8"/>
        <v>1.9319999999999999</v>
      </c>
      <c r="J169" s="22" t="str">
        <f t="shared" si="9"/>
        <v>High</v>
      </c>
      <c r="K169" s="24">
        <f t="shared" si="10"/>
        <v>55</v>
      </c>
      <c r="L169" s="27" t="str">
        <f t="shared" si="11"/>
        <v>Low</v>
      </c>
    </row>
    <row r="170" spans="1:12" x14ac:dyDescent="0.2">
      <c r="A170" s="3" t="s">
        <v>174</v>
      </c>
      <c r="B170" s="3" t="s">
        <v>386</v>
      </c>
      <c r="C170" s="3" t="s">
        <v>313</v>
      </c>
      <c r="D170" s="4">
        <v>42370</v>
      </c>
      <c r="E170" s="3">
        <v>33</v>
      </c>
      <c r="F170" s="3">
        <v>1</v>
      </c>
      <c r="G170" s="9">
        <v>55</v>
      </c>
      <c r="H170" s="9">
        <v>18.559999999999999</v>
      </c>
      <c r="I170" s="22">
        <f t="shared" si="8"/>
        <v>0.56242424242424238</v>
      </c>
      <c r="J170" s="22" t="str">
        <f t="shared" si="9"/>
        <v>Medium</v>
      </c>
      <c r="K170" s="24">
        <f t="shared" si="10"/>
        <v>55</v>
      </c>
      <c r="L170" s="27" t="str">
        <f t="shared" si="11"/>
        <v>Low</v>
      </c>
    </row>
    <row r="171" spans="1:12" x14ac:dyDescent="0.2">
      <c r="A171" s="3" t="s">
        <v>175</v>
      </c>
      <c r="B171" s="3" t="s">
        <v>386</v>
      </c>
      <c r="C171" s="3" t="s">
        <v>313</v>
      </c>
      <c r="D171" s="4">
        <v>42370</v>
      </c>
      <c r="E171" s="3">
        <v>20</v>
      </c>
      <c r="F171" s="3">
        <v>1</v>
      </c>
      <c r="G171" s="9">
        <v>54</v>
      </c>
      <c r="H171" s="9">
        <v>36.630000000000003</v>
      </c>
      <c r="I171" s="22">
        <f t="shared" si="8"/>
        <v>1.8315000000000001</v>
      </c>
      <c r="J171" s="22" t="str">
        <f t="shared" si="9"/>
        <v>High</v>
      </c>
      <c r="K171" s="24">
        <f t="shared" si="10"/>
        <v>54</v>
      </c>
      <c r="L171" s="27" t="str">
        <f t="shared" si="11"/>
        <v>Low</v>
      </c>
    </row>
    <row r="172" spans="1:12" x14ac:dyDescent="0.2">
      <c r="A172" s="3" t="s">
        <v>177</v>
      </c>
      <c r="B172" s="3" t="s">
        <v>237</v>
      </c>
      <c r="C172" s="3" t="s">
        <v>383</v>
      </c>
      <c r="D172" s="4">
        <v>42370</v>
      </c>
      <c r="E172" s="3">
        <v>33</v>
      </c>
      <c r="F172" s="3">
        <v>1</v>
      </c>
      <c r="G172" s="9">
        <v>52</v>
      </c>
      <c r="H172" s="9">
        <v>27.36</v>
      </c>
      <c r="I172" s="22">
        <f t="shared" si="8"/>
        <v>0.8290909090909091</v>
      </c>
      <c r="J172" s="22" t="str">
        <f t="shared" si="9"/>
        <v>Medium</v>
      </c>
      <c r="K172" s="24">
        <f t="shared" si="10"/>
        <v>52</v>
      </c>
      <c r="L172" s="27" t="str">
        <f t="shared" si="11"/>
        <v>Low</v>
      </c>
    </row>
    <row r="173" spans="1:12" x14ac:dyDescent="0.2">
      <c r="A173" s="3" t="s">
        <v>178</v>
      </c>
      <c r="B173" s="3" t="s">
        <v>237</v>
      </c>
      <c r="C173" s="3" t="s">
        <v>383</v>
      </c>
      <c r="D173" s="4">
        <v>42430</v>
      </c>
      <c r="E173" s="3">
        <v>5</v>
      </c>
      <c r="F173" s="3">
        <v>1</v>
      </c>
      <c r="G173" s="9">
        <v>51</v>
      </c>
      <c r="H173" s="9">
        <v>2.1</v>
      </c>
      <c r="I173" s="22">
        <f t="shared" si="8"/>
        <v>0.42000000000000004</v>
      </c>
      <c r="J173" s="22" t="str">
        <f t="shared" si="9"/>
        <v>Low</v>
      </c>
      <c r="K173" s="24">
        <f t="shared" si="10"/>
        <v>51</v>
      </c>
      <c r="L173" s="27" t="str">
        <f t="shared" si="11"/>
        <v>Low</v>
      </c>
    </row>
    <row r="174" spans="1:12" x14ac:dyDescent="0.2">
      <c r="A174" s="3" t="s">
        <v>179</v>
      </c>
      <c r="B174" s="3" t="s">
        <v>386</v>
      </c>
      <c r="C174" s="3" t="s">
        <v>341</v>
      </c>
      <c r="D174" s="4">
        <v>42401</v>
      </c>
      <c r="E174" s="3">
        <v>9</v>
      </c>
      <c r="F174" s="3">
        <v>1</v>
      </c>
      <c r="G174" s="9">
        <v>50.99</v>
      </c>
      <c r="H174" s="9">
        <v>24.61</v>
      </c>
      <c r="I174" s="22">
        <f t="shared" si="8"/>
        <v>2.7344444444444442</v>
      </c>
      <c r="J174" s="22" t="str">
        <f t="shared" si="9"/>
        <v>High</v>
      </c>
      <c r="K174" s="24">
        <f t="shared" si="10"/>
        <v>50.99</v>
      </c>
      <c r="L174" s="27" t="str">
        <f t="shared" si="11"/>
        <v>Low</v>
      </c>
    </row>
    <row r="175" spans="1:12" x14ac:dyDescent="0.2">
      <c r="A175" s="3" t="s">
        <v>180</v>
      </c>
      <c r="B175" s="3" t="s">
        <v>386</v>
      </c>
      <c r="C175" s="3" t="s">
        <v>341</v>
      </c>
      <c r="D175" s="4">
        <v>42430</v>
      </c>
      <c r="E175" s="3">
        <v>40</v>
      </c>
      <c r="F175" s="3">
        <v>1</v>
      </c>
      <c r="G175" s="9">
        <v>50</v>
      </c>
      <c r="H175" s="9">
        <v>74.03</v>
      </c>
      <c r="I175" s="22">
        <f t="shared" si="8"/>
        <v>1.8507500000000001</v>
      </c>
      <c r="J175" s="22" t="str">
        <f t="shared" si="9"/>
        <v>High</v>
      </c>
      <c r="K175" s="24">
        <f t="shared" si="10"/>
        <v>50</v>
      </c>
      <c r="L175" s="27" t="str">
        <f t="shared" si="11"/>
        <v>Low</v>
      </c>
    </row>
    <row r="176" spans="1:12" x14ac:dyDescent="0.2">
      <c r="A176" s="3" t="s">
        <v>181</v>
      </c>
      <c r="B176" s="3" t="s">
        <v>22</v>
      </c>
      <c r="C176" s="3" t="s">
        <v>313</v>
      </c>
      <c r="D176" s="4">
        <v>42370</v>
      </c>
      <c r="E176" s="3">
        <v>66</v>
      </c>
      <c r="F176" s="3">
        <v>2</v>
      </c>
      <c r="G176" s="9">
        <v>50</v>
      </c>
      <c r="H176" s="9">
        <v>19.28</v>
      </c>
      <c r="I176" s="22">
        <f t="shared" si="8"/>
        <v>0.29212121212121211</v>
      </c>
      <c r="J176" s="22" t="str">
        <f t="shared" si="9"/>
        <v>Low</v>
      </c>
      <c r="K176" s="24">
        <f t="shared" si="10"/>
        <v>25</v>
      </c>
      <c r="L176" s="27" t="str">
        <f t="shared" si="11"/>
        <v>Low</v>
      </c>
    </row>
    <row r="177" spans="1:12" x14ac:dyDescent="0.2">
      <c r="A177" s="3" t="s">
        <v>182</v>
      </c>
      <c r="B177" s="3" t="s">
        <v>237</v>
      </c>
      <c r="C177" s="3" t="s">
        <v>313</v>
      </c>
      <c r="D177" s="4">
        <v>42370</v>
      </c>
      <c r="E177" s="3">
        <v>52</v>
      </c>
      <c r="F177" s="3">
        <v>1</v>
      </c>
      <c r="G177" s="9">
        <v>50</v>
      </c>
      <c r="H177" s="9">
        <v>38.26</v>
      </c>
      <c r="I177" s="22">
        <f t="shared" si="8"/>
        <v>0.73576923076923073</v>
      </c>
      <c r="J177" s="22" t="str">
        <f t="shared" si="9"/>
        <v>Medium</v>
      </c>
      <c r="K177" s="24">
        <f t="shared" si="10"/>
        <v>50</v>
      </c>
      <c r="L177" s="27" t="str">
        <f t="shared" si="11"/>
        <v>Low</v>
      </c>
    </row>
    <row r="178" spans="1:12" x14ac:dyDescent="0.2">
      <c r="A178" s="3" t="s">
        <v>183</v>
      </c>
      <c r="B178" s="3" t="s">
        <v>385</v>
      </c>
      <c r="C178" s="3" t="s">
        <v>383</v>
      </c>
      <c r="D178" s="4">
        <v>42370</v>
      </c>
      <c r="E178" s="3">
        <v>10</v>
      </c>
      <c r="F178" s="3">
        <v>1</v>
      </c>
      <c r="G178" s="9">
        <v>49</v>
      </c>
      <c r="H178" s="9">
        <v>40.049999999999997</v>
      </c>
      <c r="I178" s="22">
        <f t="shared" si="8"/>
        <v>4.0049999999999999</v>
      </c>
      <c r="J178" s="22" t="str">
        <f t="shared" si="9"/>
        <v>High</v>
      </c>
      <c r="K178" s="24">
        <f t="shared" si="10"/>
        <v>49</v>
      </c>
      <c r="L178" s="27" t="str">
        <f t="shared" si="11"/>
        <v>Low</v>
      </c>
    </row>
    <row r="179" spans="1:12" x14ac:dyDescent="0.2">
      <c r="A179" s="3" t="s">
        <v>185</v>
      </c>
      <c r="B179" s="3" t="s">
        <v>22</v>
      </c>
      <c r="C179" s="3" t="s">
        <v>313</v>
      </c>
      <c r="D179" s="4">
        <v>42401</v>
      </c>
      <c r="E179" s="3">
        <v>5</v>
      </c>
      <c r="F179" s="3">
        <v>1</v>
      </c>
      <c r="G179" s="9">
        <v>49</v>
      </c>
      <c r="H179" s="9">
        <v>1.82</v>
      </c>
      <c r="I179" s="22">
        <f t="shared" si="8"/>
        <v>0.36399999999999999</v>
      </c>
      <c r="J179" s="22" t="str">
        <f t="shared" si="9"/>
        <v>Low</v>
      </c>
      <c r="K179" s="24">
        <f t="shared" si="10"/>
        <v>49</v>
      </c>
      <c r="L179" s="27" t="str">
        <f t="shared" si="11"/>
        <v>Low</v>
      </c>
    </row>
    <row r="180" spans="1:12" x14ac:dyDescent="0.2">
      <c r="A180" s="3" t="s">
        <v>184</v>
      </c>
      <c r="B180" s="3" t="s">
        <v>237</v>
      </c>
      <c r="C180" s="3" t="s">
        <v>313</v>
      </c>
      <c r="D180" s="4">
        <v>42401</v>
      </c>
      <c r="E180" s="3">
        <v>4</v>
      </c>
      <c r="F180" s="3">
        <v>1</v>
      </c>
      <c r="G180" s="9">
        <v>49</v>
      </c>
      <c r="H180" s="9">
        <v>4.63</v>
      </c>
      <c r="I180" s="22">
        <f t="shared" si="8"/>
        <v>1.1575</v>
      </c>
      <c r="J180" s="22" t="str">
        <f t="shared" si="9"/>
        <v>Medium</v>
      </c>
      <c r="K180" s="24">
        <f t="shared" si="10"/>
        <v>49</v>
      </c>
      <c r="L180" s="27" t="str">
        <f t="shared" si="11"/>
        <v>Low</v>
      </c>
    </row>
    <row r="181" spans="1:12" x14ac:dyDescent="0.2">
      <c r="A181" s="3" t="s">
        <v>29</v>
      </c>
      <c r="B181" s="3" t="s">
        <v>385</v>
      </c>
      <c r="C181" s="3" t="s">
        <v>383</v>
      </c>
      <c r="D181" s="4">
        <v>42430</v>
      </c>
      <c r="E181" s="3">
        <v>6</v>
      </c>
      <c r="F181" s="3">
        <v>1</v>
      </c>
      <c r="G181" s="9">
        <v>49</v>
      </c>
      <c r="H181" s="9">
        <v>5.78</v>
      </c>
      <c r="I181" s="22">
        <f t="shared" si="8"/>
        <v>0.96333333333333337</v>
      </c>
      <c r="J181" s="22" t="str">
        <f t="shared" si="9"/>
        <v>Medium</v>
      </c>
      <c r="K181" s="24">
        <f t="shared" si="10"/>
        <v>49</v>
      </c>
      <c r="L181" s="27" t="str">
        <f t="shared" si="11"/>
        <v>Low</v>
      </c>
    </row>
    <row r="182" spans="1:12" x14ac:dyDescent="0.2">
      <c r="A182" s="3" t="s">
        <v>186</v>
      </c>
      <c r="B182" s="3" t="s">
        <v>386</v>
      </c>
      <c r="C182" s="3" t="s">
        <v>313</v>
      </c>
      <c r="D182" s="4">
        <v>42401</v>
      </c>
      <c r="E182" s="3">
        <v>56</v>
      </c>
      <c r="F182" s="3">
        <v>1</v>
      </c>
      <c r="G182" s="9">
        <v>48</v>
      </c>
      <c r="H182" s="9">
        <v>53.92</v>
      </c>
      <c r="I182" s="22">
        <f t="shared" si="8"/>
        <v>0.96285714285714286</v>
      </c>
      <c r="J182" s="22" t="str">
        <f t="shared" si="9"/>
        <v>Medium</v>
      </c>
      <c r="K182" s="24">
        <f t="shared" si="10"/>
        <v>48</v>
      </c>
      <c r="L182" s="27" t="str">
        <f t="shared" si="11"/>
        <v>Low</v>
      </c>
    </row>
    <row r="183" spans="1:12" x14ac:dyDescent="0.2">
      <c r="A183" s="3" t="s">
        <v>187</v>
      </c>
      <c r="B183" s="3" t="s">
        <v>386</v>
      </c>
      <c r="C183" s="3" t="s">
        <v>313</v>
      </c>
      <c r="D183" s="4">
        <v>42401</v>
      </c>
      <c r="E183" s="3">
        <v>103</v>
      </c>
      <c r="F183" s="3">
        <v>1</v>
      </c>
      <c r="G183" s="9">
        <v>48</v>
      </c>
      <c r="H183" s="9">
        <v>16.09</v>
      </c>
      <c r="I183" s="22">
        <f t="shared" si="8"/>
        <v>0.15621359223300971</v>
      </c>
      <c r="J183" s="22" t="str">
        <f t="shared" si="9"/>
        <v>Low</v>
      </c>
      <c r="K183" s="24">
        <f t="shared" si="10"/>
        <v>48</v>
      </c>
      <c r="L183" s="27" t="str">
        <f t="shared" si="11"/>
        <v>Low</v>
      </c>
    </row>
    <row r="184" spans="1:12" x14ac:dyDescent="0.2">
      <c r="A184" s="3" t="s">
        <v>189</v>
      </c>
      <c r="B184" s="3" t="s">
        <v>237</v>
      </c>
      <c r="C184" s="3" t="s">
        <v>313</v>
      </c>
      <c r="D184" s="4">
        <v>42430</v>
      </c>
      <c r="E184" s="3">
        <v>16</v>
      </c>
      <c r="F184" s="3">
        <v>1</v>
      </c>
      <c r="G184" s="9">
        <v>45</v>
      </c>
      <c r="H184" s="9">
        <v>30.06</v>
      </c>
      <c r="I184" s="22">
        <f t="shared" si="8"/>
        <v>1.8787499999999999</v>
      </c>
      <c r="J184" s="22" t="str">
        <f t="shared" si="9"/>
        <v>High</v>
      </c>
      <c r="K184" s="24">
        <f t="shared" si="10"/>
        <v>45</v>
      </c>
      <c r="L184" s="27" t="str">
        <f t="shared" si="11"/>
        <v>Low</v>
      </c>
    </row>
    <row r="185" spans="1:12" x14ac:dyDescent="0.2">
      <c r="A185" s="3" t="s">
        <v>188</v>
      </c>
      <c r="B185" s="3" t="s">
        <v>386</v>
      </c>
      <c r="C185" s="3" t="s">
        <v>313</v>
      </c>
      <c r="D185" s="4">
        <v>42430</v>
      </c>
      <c r="E185" s="3">
        <v>15</v>
      </c>
      <c r="F185" s="3">
        <v>1</v>
      </c>
      <c r="G185" s="9">
        <v>45</v>
      </c>
      <c r="H185" s="9">
        <v>18.95</v>
      </c>
      <c r="I185" s="22">
        <f t="shared" si="8"/>
        <v>1.2633333333333332</v>
      </c>
      <c r="J185" s="22" t="str">
        <f t="shared" si="9"/>
        <v>Medium</v>
      </c>
      <c r="K185" s="24">
        <f t="shared" si="10"/>
        <v>45</v>
      </c>
      <c r="L185" s="27" t="str">
        <f t="shared" si="11"/>
        <v>Low</v>
      </c>
    </row>
    <row r="186" spans="1:12" x14ac:dyDescent="0.2">
      <c r="A186" s="3" t="s">
        <v>190</v>
      </c>
      <c r="B186" s="3" t="s">
        <v>386</v>
      </c>
      <c r="C186" s="3" t="s">
        <v>384</v>
      </c>
      <c r="D186" s="4">
        <v>42370</v>
      </c>
      <c r="E186" s="3">
        <v>51</v>
      </c>
      <c r="F186" s="3">
        <v>1</v>
      </c>
      <c r="G186" s="9">
        <v>44.75</v>
      </c>
      <c r="H186" s="9">
        <v>138.69</v>
      </c>
      <c r="I186" s="22">
        <f t="shared" si="8"/>
        <v>2.7194117647058822</v>
      </c>
      <c r="J186" s="22" t="str">
        <f t="shared" si="9"/>
        <v>High</v>
      </c>
      <c r="K186" s="24">
        <f t="shared" si="10"/>
        <v>44.75</v>
      </c>
      <c r="L186" s="27" t="str">
        <f t="shared" si="11"/>
        <v>Low</v>
      </c>
    </row>
    <row r="187" spans="1:12" x14ac:dyDescent="0.2">
      <c r="A187" s="3" t="s">
        <v>191</v>
      </c>
      <c r="B187" s="3" t="s">
        <v>386</v>
      </c>
      <c r="C187" s="3" t="s">
        <v>384</v>
      </c>
      <c r="D187" s="4">
        <v>42370</v>
      </c>
      <c r="E187" s="3">
        <v>54</v>
      </c>
      <c r="F187" s="3">
        <v>1</v>
      </c>
      <c r="G187" s="9">
        <v>44</v>
      </c>
      <c r="H187" s="9">
        <v>76.959999999999994</v>
      </c>
      <c r="I187" s="22">
        <f t="shared" si="8"/>
        <v>1.4251851851851851</v>
      </c>
      <c r="J187" s="22" t="str">
        <f t="shared" si="9"/>
        <v>Medium</v>
      </c>
      <c r="K187" s="24">
        <f t="shared" si="10"/>
        <v>44</v>
      </c>
      <c r="L187" s="27" t="str">
        <f t="shared" si="11"/>
        <v>Low</v>
      </c>
    </row>
    <row r="188" spans="1:12" x14ac:dyDescent="0.2">
      <c r="A188" s="3" t="s">
        <v>192</v>
      </c>
      <c r="B188" s="3" t="s">
        <v>386</v>
      </c>
      <c r="C188" s="3" t="s">
        <v>313</v>
      </c>
      <c r="D188" s="4">
        <v>42370</v>
      </c>
      <c r="E188" s="3">
        <v>23</v>
      </c>
      <c r="F188" s="3">
        <v>1</v>
      </c>
      <c r="G188" s="9">
        <v>43</v>
      </c>
      <c r="H188" s="9">
        <v>20.45</v>
      </c>
      <c r="I188" s="22">
        <f t="shared" si="8"/>
        <v>0.88913043478260867</v>
      </c>
      <c r="J188" s="22" t="str">
        <f t="shared" si="9"/>
        <v>Medium</v>
      </c>
      <c r="K188" s="24">
        <f t="shared" si="10"/>
        <v>43</v>
      </c>
      <c r="L188" s="27" t="str">
        <f t="shared" si="11"/>
        <v>Low</v>
      </c>
    </row>
    <row r="189" spans="1:12" x14ac:dyDescent="0.2">
      <c r="A189" s="3" t="s">
        <v>193</v>
      </c>
      <c r="B189" s="3" t="s">
        <v>386</v>
      </c>
      <c r="C189" s="3" t="s">
        <v>384</v>
      </c>
      <c r="D189" s="4">
        <v>42430</v>
      </c>
      <c r="E189" s="3">
        <v>23</v>
      </c>
      <c r="F189" s="3">
        <v>1</v>
      </c>
      <c r="G189" s="9">
        <v>42.98</v>
      </c>
      <c r="H189" s="9">
        <v>17.12</v>
      </c>
      <c r="I189" s="22">
        <f t="shared" si="8"/>
        <v>0.7443478260869566</v>
      </c>
      <c r="J189" s="22" t="str">
        <f t="shared" si="9"/>
        <v>Medium</v>
      </c>
      <c r="K189" s="24">
        <f t="shared" si="10"/>
        <v>42.98</v>
      </c>
      <c r="L189" s="27" t="str">
        <f t="shared" si="11"/>
        <v>Low</v>
      </c>
    </row>
    <row r="190" spans="1:12" x14ac:dyDescent="0.2">
      <c r="A190" s="3" t="s">
        <v>195</v>
      </c>
      <c r="B190" s="3" t="s">
        <v>386</v>
      </c>
      <c r="C190" s="3" t="s">
        <v>313</v>
      </c>
      <c r="D190" s="4">
        <v>42401</v>
      </c>
      <c r="E190" s="3">
        <v>64</v>
      </c>
      <c r="F190" s="3">
        <v>2</v>
      </c>
      <c r="G190" s="9">
        <v>40.49</v>
      </c>
      <c r="H190" s="9">
        <v>31.15</v>
      </c>
      <c r="I190" s="22">
        <f t="shared" si="8"/>
        <v>0.48671874999999998</v>
      </c>
      <c r="J190" s="22" t="str">
        <f t="shared" si="9"/>
        <v>Low</v>
      </c>
      <c r="K190" s="24">
        <f t="shared" si="10"/>
        <v>20.245000000000001</v>
      </c>
      <c r="L190" s="27" t="str">
        <f t="shared" si="11"/>
        <v>Low</v>
      </c>
    </row>
    <row r="191" spans="1:12" x14ac:dyDescent="0.2">
      <c r="A191" s="3" t="s">
        <v>196</v>
      </c>
      <c r="B191" s="3" t="s">
        <v>386</v>
      </c>
      <c r="C191" s="3" t="s">
        <v>384</v>
      </c>
      <c r="D191" s="4">
        <v>42401</v>
      </c>
      <c r="E191" s="3">
        <v>17</v>
      </c>
      <c r="F191" s="3">
        <v>1</v>
      </c>
      <c r="G191" s="9">
        <v>40</v>
      </c>
      <c r="H191" s="9">
        <v>18.07</v>
      </c>
      <c r="I191" s="22">
        <f t="shared" si="8"/>
        <v>1.0629411764705883</v>
      </c>
      <c r="J191" s="22" t="str">
        <f t="shared" si="9"/>
        <v>Medium</v>
      </c>
      <c r="K191" s="24">
        <f t="shared" si="10"/>
        <v>40</v>
      </c>
      <c r="L191" s="27" t="str">
        <f t="shared" si="11"/>
        <v>Low</v>
      </c>
    </row>
    <row r="192" spans="1:12" x14ac:dyDescent="0.2">
      <c r="A192" s="3" t="s">
        <v>198</v>
      </c>
      <c r="B192" s="3" t="s">
        <v>237</v>
      </c>
      <c r="C192" s="3" t="s">
        <v>383</v>
      </c>
      <c r="D192" s="4">
        <v>42401</v>
      </c>
      <c r="E192" s="3">
        <v>127</v>
      </c>
      <c r="F192" s="3">
        <v>1</v>
      </c>
      <c r="G192" s="9">
        <v>40</v>
      </c>
      <c r="H192" s="9">
        <v>123.96</v>
      </c>
      <c r="I192" s="22">
        <f t="shared" si="8"/>
        <v>0.97606299212598424</v>
      </c>
      <c r="J192" s="22" t="str">
        <f t="shared" si="9"/>
        <v>Medium</v>
      </c>
      <c r="K192" s="24">
        <f t="shared" si="10"/>
        <v>40</v>
      </c>
      <c r="L192" s="27" t="str">
        <f t="shared" si="11"/>
        <v>Low</v>
      </c>
    </row>
    <row r="193" spans="1:12" x14ac:dyDescent="0.2">
      <c r="A193" s="3" t="s">
        <v>197</v>
      </c>
      <c r="B193" s="3" t="s">
        <v>237</v>
      </c>
      <c r="C193" s="3" t="s">
        <v>313</v>
      </c>
      <c r="D193" s="4">
        <v>42401</v>
      </c>
      <c r="E193" s="3">
        <v>52</v>
      </c>
      <c r="F193" s="3">
        <v>1</v>
      </c>
      <c r="G193" s="9">
        <v>40</v>
      </c>
      <c r="H193" s="9">
        <v>38.96</v>
      </c>
      <c r="I193" s="22">
        <f t="shared" si="8"/>
        <v>0.74923076923076926</v>
      </c>
      <c r="J193" s="22" t="str">
        <f t="shared" si="9"/>
        <v>Medium</v>
      </c>
      <c r="K193" s="24">
        <f t="shared" si="10"/>
        <v>40</v>
      </c>
      <c r="L193" s="27" t="str">
        <f t="shared" si="11"/>
        <v>Low</v>
      </c>
    </row>
    <row r="194" spans="1:12" x14ac:dyDescent="0.2">
      <c r="A194" s="3" t="s">
        <v>200</v>
      </c>
      <c r="B194" s="3" t="s">
        <v>237</v>
      </c>
      <c r="C194" s="3" t="s">
        <v>313</v>
      </c>
      <c r="D194" s="4">
        <v>42370</v>
      </c>
      <c r="E194" s="3">
        <v>41</v>
      </c>
      <c r="F194" s="3">
        <v>1</v>
      </c>
      <c r="G194" s="9">
        <v>39</v>
      </c>
      <c r="H194" s="9">
        <v>9.7799999999999994</v>
      </c>
      <c r="I194" s="22">
        <f t="shared" si="8"/>
        <v>0.23853658536585365</v>
      </c>
      <c r="J194" s="22" t="str">
        <f t="shared" si="9"/>
        <v>Low</v>
      </c>
      <c r="K194" s="24">
        <f t="shared" si="10"/>
        <v>39</v>
      </c>
      <c r="L194" s="27" t="str">
        <f t="shared" si="11"/>
        <v>Low</v>
      </c>
    </row>
    <row r="195" spans="1:12" x14ac:dyDescent="0.2">
      <c r="A195" s="3" t="s">
        <v>199</v>
      </c>
      <c r="B195" s="3" t="s">
        <v>386</v>
      </c>
      <c r="C195" s="3" t="s">
        <v>384</v>
      </c>
      <c r="D195" s="4">
        <v>42430</v>
      </c>
      <c r="E195" s="3">
        <v>21</v>
      </c>
      <c r="F195" s="3">
        <v>1</v>
      </c>
      <c r="G195" s="9">
        <v>39</v>
      </c>
      <c r="H195" s="9">
        <v>12.45</v>
      </c>
      <c r="I195" s="22">
        <f t="shared" ref="I195:I258" si="12">IF(E195&gt;0,H195/E195,"")</f>
        <v>0.59285714285714286</v>
      </c>
      <c r="J195" s="22" t="str">
        <f t="shared" ref="J195:J258" si="13">IF(ISNUMBER(I195),IF(I195&lt;=0.5,"Low",IF(I195&lt;=1.5,"Medium","High")),"Untested")</f>
        <v>Medium</v>
      </c>
      <c r="K195" s="24">
        <f t="shared" ref="K195:K258" si="14">IF(G195&gt;0,G195/F195,"")</f>
        <v>39</v>
      </c>
      <c r="L195" s="27" t="str">
        <f t="shared" ref="L195:L258" si="15">IF(ISNUMBER(K195),IF(K195&lt;=75,"Low",IF(K195&lt;=200,"Medium","High")),"Untested")</f>
        <v>Low</v>
      </c>
    </row>
    <row r="196" spans="1:12" x14ac:dyDescent="0.2">
      <c r="A196" s="3" t="s">
        <v>201</v>
      </c>
      <c r="B196" s="3" t="s">
        <v>386</v>
      </c>
      <c r="C196" s="3" t="s">
        <v>341</v>
      </c>
      <c r="D196" s="4">
        <v>42401</v>
      </c>
      <c r="E196" s="3">
        <v>39</v>
      </c>
      <c r="F196" s="3">
        <v>1</v>
      </c>
      <c r="G196" s="9">
        <v>38.49</v>
      </c>
      <c r="H196" s="9">
        <v>34.619999999999997</v>
      </c>
      <c r="I196" s="22">
        <f t="shared" si="12"/>
        <v>0.88769230769230767</v>
      </c>
      <c r="J196" s="22" t="str">
        <f t="shared" si="13"/>
        <v>Medium</v>
      </c>
      <c r="K196" s="24">
        <f t="shared" si="14"/>
        <v>38.49</v>
      </c>
      <c r="L196" s="27" t="str">
        <f t="shared" si="15"/>
        <v>Low</v>
      </c>
    </row>
    <row r="197" spans="1:12" x14ac:dyDescent="0.2">
      <c r="A197" s="3" t="s">
        <v>203</v>
      </c>
      <c r="B197" s="3" t="s">
        <v>22</v>
      </c>
      <c r="C197" s="3" t="s">
        <v>383</v>
      </c>
      <c r="D197" s="4">
        <v>42401</v>
      </c>
      <c r="E197" s="3">
        <v>68</v>
      </c>
      <c r="F197" s="3">
        <v>1</v>
      </c>
      <c r="G197" s="9">
        <v>38</v>
      </c>
      <c r="H197" s="9">
        <v>58.98</v>
      </c>
      <c r="I197" s="22">
        <f t="shared" si="12"/>
        <v>0.86735294117647055</v>
      </c>
      <c r="J197" s="22" t="str">
        <f t="shared" si="13"/>
        <v>Medium</v>
      </c>
      <c r="K197" s="24">
        <f t="shared" si="14"/>
        <v>38</v>
      </c>
      <c r="L197" s="27" t="str">
        <f t="shared" si="15"/>
        <v>Low</v>
      </c>
    </row>
    <row r="198" spans="1:12" x14ac:dyDescent="0.2">
      <c r="A198" s="3" t="s">
        <v>202</v>
      </c>
      <c r="B198" s="3" t="s">
        <v>386</v>
      </c>
      <c r="C198" s="3" t="s">
        <v>341</v>
      </c>
      <c r="D198" s="4">
        <v>42430</v>
      </c>
      <c r="E198" s="3">
        <v>21</v>
      </c>
      <c r="F198" s="3">
        <v>1</v>
      </c>
      <c r="G198" s="9">
        <v>38</v>
      </c>
      <c r="H198" s="9">
        <v>38.07</v>
      </c>
      <c r="I198" s="22">
        <f t="shared" si="12"/>
        <v>1.8128571428571429</v>
      </c>
      <c r="J198" s="22" t="str">
        <f t="shared" si="13"/>
        <v>High</v>
      </c>
      <c r="K198" s="24">
        <f t="shared" si="14"/>
        <v>38</v>
      </c>
      <c r="L198" s="27" t="str">
        <f t="shared" si="15"/>
        <v>Low</v>
      </c>
    </row>
    <row r="199" spans="1:12" x14ac:dyDescent="0.2">
      <c r="A199" s="3" t="s">
        <v>204</v>
      </c>
      <c r="B199" s="3" t="s">
        <v>22</v>
      </c>
      <c r="C199" s="3" t="s">
        <v>313</v>
      </c>
      <c r="D199" s="4">
        <v>42401</v>
      </c>
      <c r="E199" s="3">
        <v>61</v>
      </c>
      <c r="F199" s="3">
        <v>1</v>
      </c>
      <c r="G199" s="9">
        <v>37.5</v>
      </c>
      <c r="H199" s="9">
        <v>105.38</v>
      </c>
      <c r="I199" s="22">
        <f t="shared" si="12"/>
        <v>1.7275409836065574</v>
      </c>
      <c r="J199" s="22" t="str">
        <f t="shared" si="13"/>
        <v>High</v>
      </c>
      <c r="K199" s="24">
        <f t="shared" si="14"/>
        <v>37.5</v>
      </c>
      <c r="L199" s="27" t="str">
        <f t="shared" si="15"/>
        <v>Low</v>
      </c>
    </row>
    <row r="200" spans="1:12" x14ac:dyDescent="0.2">
      <c r="A200" s="3" t="s">
        <v>205</v>
      </c>
      <c r="B200" s="3" t="s">
        <v>386</v>
      </c>
      <c r="C200" s="3" t="s">
        <v>384</v>
      </c>
      <c r="D200" s="4">
        <v>42401</v>
      </c>
      <c r="E200" s="3">
        <v>6</v>
      </c>
      <c r="F200" s="3">
        <v>1</v>
      </c>
      <c r="G200" s="9">
        <v>36.369999999999997</v>
      </c>
      <c r="H200" s="9">
        <v>1.56</v>
      </c>
      <c r="I200" s="22">
        <f t="shared" si="12"/>
        <v>0.26</v>
      </c>
      <c r="J200" s="22" t="str">
        <f t="shared" si="13"/>
        <v>Low</v>
      </c>
      <c r="K200" s="24">
        <f t="shared" si="14"/>
        <v>36.369999999999997</v>
      </c>
      <c r="L200" s="27" t="str">
        <f t="shared" si="15"/>
        <v>Low</v>
      </c>
    </row>
    <row r="201" spans="1:12" x14ac:dyDescent="0.2">
      <c r="A201" s="3" t="s">
        <v>207</v>
      </c>
      <c r="B201" s="3" t="s">
        <v>22</v>
      </c>
      <c r="C201" s="3" t="s">
        <v>383</v>
      </c>
      <c r="D201" s="4">
        <v>42401</v>
      </c>
      <c r="E201" s="3">
        <v>9</v>
      </c>
      <c r="F201" s="3">
        <v>1</v>
      </c>
      <c r="G201" s="9">
        <v>36</v>
      </c>
      <c r="H201" s="9">
        <v>5.44</v>
      </c>
      <c r="I201" s="22">
        <f t="shared" si="12"/>
        <v>0.60444444444444445</v>
      </c>
      <c r="J201" s="22" t="str">
        <f t="shared" si="13"/>
        <v>Medium</v>
      </c>
      <c r="K201" s="24">
        <f t="shared" si="14"/>
        <v>36</v>
      </c>
      <c r="L201" s="27" t="str">
        <f t="shared" si="15"/>
        <v>Low</v>
      </c>
    </row>
    <row r="202" spans="1:12" x14ac:dyDescent="0.2">
      <c r="A202" s="3" t="s">
        <v>208</v>
      </c>
      <c r="B202" s="3" t="s">
        <v>237</v>
      </c>
      <c r="C202" s="3" t="s">
        <v>313</v>
      </c>
      <c r="D202" s="4">
        <v>42430</v>
      </c>
      <c r="E202" s="3">
        <v>58</v>
      </c>
      <c r="F202" s="3">
        <v>1</v>
      </c>
      <c r="G202" s="9">
        <v>35.49</v>
      </c>
      <c r="H202" s="9">
        <v>58.63</v>
      </c>
      <c r="I202" s="22">
        <f t="shared" si="12"/>
        <v>1.0108620689655172</v>
      </c>
      <c r="J202" s="22" t="str">
        <f t="shared" si="13"/>
        <v>Medium</v>
      </c>
      <c r="K202" s="24">
        <f t="shared" si="14"/>
        <v>35.49</v>
      </c>
      <c r="L202" s="27" t="str">
        <f t="shared" si="15"/>
        <v>Low</v>
      </c>
    </row>
    <row r="203" spans="1:12" x14ac:dyDescent="0.2">
      <c r="A203" s="3" t="s">
        <v>209</v>
      </c>
      <c r="B203" s="3" t="s">
        <v>237</v>
      </c>
      <c r="C203" s="3" t="s">
        <v>313</v>
      </c>
      <c r="D203" s="4">
        <v>42430</v>
      </c>
      <c r="E203" s="3">
        <v>40</v>
      </c>
      <c r="F203" s="3">
        <v>1</v>
      </c>
      <c r="G203" s="9">
        <v>35</v>
      </c>
      <c r="H203" s="9">
        <v>44.42</v>
      </c>
      <c r="I203" s="22">
        <f t="shared" si="12"/>
        <v>1.1105</v>
      </c>
      <c r="J203" s="22" t="str">
        <f t="shared" si="13"/>
        <v>Medium</v>
      </c>
      <c r="K203" s="24">
        <f t="shared" si="14"/>
        <v>35</v>
      </c>
      <c r="L203" s="27" t="str">
        <f t="shared" si="15"/>
        <v>Low</v>
      </c>
    </row>
    <row r="204" spans="1:12" x14ac:dyDescent="0.2">
      <c r="A204" s="3" t="s">
        <v>211</v>
      </c>
      <c r="B204" s="3" t="s">
        <v>237</v>
      </c>
      <c r="C204" s="3" t="s">
        <v>313</v>
      </c>
      <c r="D204" s="4">
        <v>42370</v>
      </c>
      <c r="E204" s="3">
        <v>25</v>
      </c>
      <c r="F204" s="3">
        <v>1</v>
      </c>
      <c r="G204" s="9">
        <v>32</v>
      </c>
      <c r="H204" s="9">
        <v>12.73</v>
      </c>
      <c r="I204" s="22">
        <f t="shared" si="12"/>
        <v>0.50919999999999999</v>
      </c>
      <c r="J204" s="22" t="str">
        <f t="shared" si="13"/>
        <v>Medium</v>
      </c>
      <c r="K204" s="24">
        <f t="shared" si="14"/>
        <v>32</v>
      </c>
      <c r="L204" s="27" t="str">
        <f t="shared" si="15"/>
        <v>Low</v>
      </c>
    </row>
    <row r="205" spans="1:12" x14ac:dyDescent="0.2">
      <c r="A205" s="3" t="s">
        <v>212</v>
      </c>
      <c r="B205" s="3" t="s">
        <v>237</v>
      </c>
      <c r="C205" s="3" t="s">
        <v>340</v>
      </c>
      <c r="D205" s="4">
        <v>42430</v>
      </c>
      <c r="E205" s="3">
        <v>4</v>
      </c>
      <c r="F205" s="3">
        <v>1</v>
      </c>
      <c r="G205" s="9">
        <v>31.49</v>
      </c>
      <c r="H205" s="9">
        <v>5.35</v>
      </c>
      <c r="I205" s="22">
        <f t="shared" si="12"/>
        <v>1.3374999999999999</v>
      </c>
      <c r="J205" s="22" t="str">
        <f t="shared" si="13"/>
        <v>Medium</v>
      </c>
      <c r="K205" s="24">
        <f t="shared" si="14"/>
        <v>31.49</v>
      </c>
      <c r="L205" s="27" t="str">
        <f t="shared" si="15"/>
        <v>Low</v>
      </c>
    </row>
    <row r="206" spans="1:12" x14ac:dyDescent="0.2">
      <c r="A206" s="3" t="s">
        <v>213</v>
      </c>
      <c r="B206" s="3" t="s">
        <v>237</v>
      </c>
      <c r="C206" s="3" t="s">
        <v>313</v>
      </c>
      <c r="D206" s="4">
        <v>42430</v>
      </c>
      <c r="E206" s="3">
        <v>45</v>
      </c>
      <c r="F206" s="3">
        <v>1</v>
      </c>
      <c r="G206" s="9">
        <v>31</v>
      </c>
      <c r="H206" s="9">
        <v>16.079999999999998</v>
      </c>
      <c r="I206" s="22">
        <f t="shared" si="12"/>
        <v>0.35733333333333328</v>
      </c>
      <c r="J206" s="22" t="str">
        <f t="shared" si="13"/>
        <v>Low</v>
      </c>
      <c r="K206" s="24">
        <f t="shared" si="14"/>
        <v>31</v>
      </c>
      <c r="L206" s="27" t="str">
        <f t="shared" si="15"/>
        <v>Low</v>
      </c>
    </row>
    <row r="207" spans="1:12" x14ac:dyDescent="0.2">
      <c r="A207" s="3" t="s">
        <v>194</v>
      </c>
      <c r="B207" s="3" t="s">
        <v>22</v>
      </c>
      <c r="C207" s="3" t="s">
        <v>313</v>
      </c>
      <c r="D207" s="4">
        <v>42370</v>
      </c>
      <c r="E207" s="3">
        <v>42</v>
      </c>
      <c r="F207" s="3">
        <v>1</v>
      </c>
      <c r="G207" s="9">
        <v>29</v>
      </c>
      <c r="H207" s="9">
        <v>63.08</v>
      </c>
      <c r="I207" s="22">
        <f t="shared" si="12"/>
        <v>1.5019047619047619</v>
      </c>
      <c r="J207" s="22" t="str">
        <f t="shared" si="13"/>
        <v>High</v>
      </c>
      <c r="K207" s="24">
        <f t="shared" si="14"/>
        <v>29</v>
      </c>
      <c r="L207" s="27" t="str">
        <f t="shared" si="15"/>
        <v>Low</v>
      </c>
    </row>
    <row r="208" spans="1:12" x14ac:dyDescent="0.2">
      <c r="A208" s="3" t="s">
        <v>391</v>
      </c>
      <c r="B208" s="3" t="s">
        <v>386</v>
      </c>
      <c r="C208" s="3" t="s">
        <v>341</v>
      </c>
      <c r="D208" s="4">
        <v>42370</v>
      </c>
      <c r="E208" s="3">
        <v>16</v>
      </c>
      <c r="F208" s="3">
        <v>1</v>
      </c>
      <c r="G208" s="9">
        <v>28</v>
      </c>
      <c r="H208" s="9">
        <v>23.95</v>
      </c>
      <c r="I208" s="22">
        <f t="shared" si="12"/>
        <v>1.496875</v>
      </c>
      <c r="J208" s="22" t="str">
        <f t="shared" si="13"/>
        <v>Medium</v>
      </c>
      <c r="K208" s="24">
        <f t="shared" si="14"/>
        <v>28</v>
      </c>
      <c r="L208" s="27" t="str">
        <f t="shared" si="15"/>
        <v>Low</v>
      </c>
    </row>
    <row r="209" spans="1:12" x14ac:dyDescent="0.2">
      <c r="A209" s="3" t="s">
        <v>217</v>
      </c>
      <c r="B209" s="3" t="s">
        <v>22</v>
      </c>
      <c r="C209" s="3" t="s">
        <v>383</v>
      </c>
      <c r="D209" s="4">
        <v>42370</v>
      </c>
      <c r="E209" s="3">
        <v>43</v>
      </c>
      <c r="F209" s="3">
        <v>1</v>
      </c>
      <c r="G209" s="9">
        <v>27</v>
      </c>
      <c r="H209" s="9">
        <v>25.21</v>
      </c>
      <c r="I209" s="22">
        <f t="shared" si="12"/>
        <v>0.58627906976744193</v>
      </c>
      <c r="J209" s="22" t="str">
        <f t="shared" si="13"/>
        <v>Medium</v>
      </c>
      <c r="K209" s="24">
        <f t="shared" si="14"/>
        <v>27</v>
      </c>
      <c r="L209" s="27" t="str">
        <f t="shared" si="15"/>
        <v>Low</v>
      </c>
    </row>
    <row r="210" spans="1:12" x14ac:dyDescent="0.2">
      <c r="A210" s="3" t="s">
        <v>218</v>
      </c>
      <c r="B210" s="3" t="s">
        <v>237</v>
      </c>
      <c r="C210" s="3" t="s">
        <v>313</v>
      </c>
      <c r="D210" s="4">
        <v>42370</v>
      </c>
      <c r="E210" s="3">
        <v>92</v>
      </c>
      <c r="F210" s="3">
        <v>1</v>
      </c>
      <c r="G210" s="9">
        <v>27</v>
      </c>
      <c r="H210" s="9">
        <v>194.69</v>
      </c>
      <c r="I210" s="22">
        <f t="shared" si="12"/>
        <v>2.1161956521739129</v>
      </c>
      <c r="J210" s="22" t="str">
        <f t="shared" si="13"/>
        <v>High</v>
      </c>
      <c r="K210" s="24">
        <f t="shared" si="14"/>
        <v>27</v>
      </c>
      <c r="L210" s="27" t="str">
        <f t="shared" si="15"/>
        <v>Low</v>
      </c>
    </row>
    <row r="211" spans="1:12" x14ac:dyDescent="0.2">
      <c r="A211" s="3" t="s">
        <v>216</v>
      </c>
      <c r="B211" s="3" t="s">
        <v>22</v>
      </c>
      <c r="C211" s="3" t="s">
        <v>313</v>
      </c>
      <c r="D211" s="4">
        <v>42401</v>
      </c>
      <c r="E211" s="3">
        <v>188</v>
      </c>
      <c r="F211" s="3">
        <v>1</v>
      </c>
      <c r="G211" s="9">
        <v>27</v>
      </c>
      <c r="H211" s="9">
        <v>49.57</v>
      </c>
      <c r="I211" s="22">
        <f t="shared" si="12"/>
        <v>0.26367021276595742</v>
      </c>
      <c r="J211" s="22" t="str">
        <f t="shared" si="13"/>
        <v>Low</v>
      </c>
      <c r="K211" s="24">
        <f t="shared" si="14"/>
        <v>27</v>
      </c>
      <c r="L211" s="27" t="str">
        <f t="shared" si="15"/>
        <v>Low</v>
      </c>
    </row>
    <row r="212" spans="1:12" x14ac:dyDescent="0.2">
      <c r="A212" s="3" t="s">
        <v>215</v>
      </c>
      <c r="B212" s="3" t="s">
        <v>22</v>
      </c>
      <c r="C212" s="3" t="s">
        <v>383</v>
      </c>
      <c r="D212" s="4">
        <v>42430</v>
      </c>
      <c r="E212" s="3">
        <v>43</v>
      </c>
      <c r="F212" s="3">
        <v>1</v>
      </c>
      <c r="G212" s="9">
        <v>27</v>
      </c>
      <c r="H212" s="9">
        <v>27.3</v>
      </c>
      <c r="I212" s="22">
        <f t="shared" si="12"/>
        <v>0.6348837209302326</v>
      </c>
      <c r="J212" s="22" t="str">
        <f t="shared" si="13"/>
        <v>Medium</v>
      </c>
      <c r="K212" s="24">
        <f t="shared" si="14"/>
        <v>27</v>
      </c>
      <c r="L212" s="27" t="str">
        <f t="shared" si="15"/>
        <v>Low</v>
      </c>
    </row>
    <row r="213" spans="1:12" x14ac:dyDescent="0.2">
      <c r="A213" s="3" t="s">
        <v>220</v>
      </c>
      <c r="B213" s="3" t="s">
        <v>22</v>
      </c>
      <c r="C213" s="3" t="s">
        <v>313</v>
      </c>
      <c r="D213" s="4">
        <v>42430</v>
      </c>
      <c r="E213" s="3">
        <v>28</v>
      </c>
      <c r="F213" s="3">
        <v>1</v>
      </c>
      <c r="G213" s="9">
        <v>26</v>
      </c>
      <c r="H213" s="9">
        <v>31.87</v>
      </c>
      <c r="I213" s="22">
        <f t="shared" si="12"/>
        <v>1.1382142857142858</v>
      </c>
      <c r="J213" s="22" t="str">
        <f t="shared" si="13"/>
        <v>Medium</v>
      </c>
      <c r="K213" s="24">
        <f t="shared" si="14"/>
        <v>26</v>
      </c>
      <c r="L213" s="27" t="str">
        <f t="shared" si="15"/>
        <v>Low</v>
      </c>
    </row>
    <row r="214" spans="1:12" x14ac:dyDescent="0.2">
      <c r="A214" s="3" t="s">
        <v>219</v>
      </c>
      <c r="B214" s="3" t="s">
        <v>386</v>
      </c>
      <c r="C214" s="3" t="s">
        <v>341</v>
      </c>
      <c r="D214" s="4">
        <v>42370</v>
      </c>
      <c r="E214" s="3">
        <v>5</v>
      </c>
      <c r="F214" s="3">
        <v>1</v>
      </c>
      <c r="G214" s="9">
        <v>26</v>
      </c>
      <c r="H214" s="9">
        <v>9.6999999999999993</v>
      </c>
      <c r="I214" s="22">
        <f t="shared" si="12"/>
        <v>1.94</v>
      </c>
      <c r="J214" s="22" t="str">
        <f t="shared" si="13"/>
        <v>High</v>
      </c>
      <c r="K214" s="24">
        <f t="shared" si="14"/>
        <v>26</v>
      </c>
      <c r="L214" s="27" t="str">
        <f t="shared" si="15"/>
        <v>Low</v>
      </c>
    </row>
    <row r="215" spans="1:12" x14ac:dyDescent="0.2">
      <c r="A215" s="3" t="s">
        <v>221</v>
      </c>
      <c r="B215" s="3" t="s">
        <v>386</v>
      </c>
      <c r="C215" s="3" t="s">
        <v>313</v>
      </c>
      <c r="D215" s="4">
        <v>42401</v>
      </c>
      <c r="E215" s="3">
        <v>5</v>
      </c>
      <c r="F215" s="3">
        <v>1</v>
      </c>
      <c r="G215" s="9">
        <v>25</v>
      </c>
      <c r="H215" s="9">
        <v>1.3</v>
      </c>
      <c r="I215" s="22">
        <f t="shared" si="12"/>
        <v>0.26</v>
      </c>
      <c r="J215" s="22" t="str">
        <f t="shared" si="13"/>
        <v>Low</v>
      </c>
      <c r="K215" s="24">
        <f t="shared" si="14"/>
        <v>25</v>
      </c>
      <c r="L215" s="27" t="str">
        <f t="shared" si="15"/>
        <v>Low</v>
      </c>
    </row>
    <row r="216" spans="1:12" x14ac:dyDescent="0.2">
      <c r="A216" s="3" t="s">
        <v>222</v>
      </c>
      <c r="B216" s="3" t="s">
        <v>237</v>
      </c>
      <c r="C216" s="3" t="s">
        <v>313</v>
      </c>
      <c r="D216" s="4">
        <v>42401</v>
      </c>
      <c r="E216" s="3">
        <v>11</v>
      </c>
      <c r="F216" s="3">
        <v>1</v>
      </c>
      <c r="G216" s="9">
        <v>25</v>
      </c>
      <c r="H216" s="9">
        <v>7.82</v>
      </c>
      <c r="I216" s="22">
        <f t="shared" si="12"/>
        <v>0.71090909090909093</v>
      </c>
      <c r="J216" s="22" t="str">
        <f t="shared" si="13"/>
        <v>Medium</v>
      </c>
      <c r="K216" s="24">
        <f t="shared" si="14"/>
        <v>25</v>
      </c>
      <c r="L216" s="27" t="str">
        <f t="shared" si="15"/>
        <v>Low</v>
      </c>
    </row>
    <row r="217" spans="1:12" x14ac:dyDescent="0.2">
      <c r="A217" s="3" t="s">
        <v>125</v>
      </c>
      <c r="B217" s="3" t="s">
        <v>237</v>
      </c>
      <c r="C217" s="3" t="s">
        <v>313</v>
      </c>
      <c r="D217" s="4">
        <v>42370</v>
      </c>
      <c r="E217" s="3">
        <v>11</v>
      </c>
      <c r="F217" s="3">
        <v>1</v>
      </c>
      <c r="G217" s="9">
        <v>25</v>
      </c>
      <c r="H217" s="9">
        <v>7.68</v>
      </c>
      <c r="I217" s="22">
        <f t="shared" si="12"/>
        <v>0.69818181818181813</v>
      </c>
      <c r="J217" s="22" t="str">
        <f t="shared" si="13"/>
        <v>Medium</v>
      </c>
      <c r="K217" s="24">
        <f t="shared" si="14"/>
        <v>25</v>
      </c>
      <c r="L217" s="27" t="str">
        <f t="shared" si="15"/>
        <v>Low</v>
      </c>
    </row>
    <row r="218" spans="1:12" x14ac:dyDescent="0.2">
      <c r="A218" s="3" t="s">
        <v>223</v>
      </c>
      <c r="B218" s="3" t="s">
        <v>386</v>
      </c>
      <c r="C218" s="3" t="s">
        <v>313</v>
      </c>
      <c r="D218" s="4">
        <v>42430</v>
      </c>
      <c r="E218" s="3">
        <v>57</v>
      </c>
      <c r="F218" s="3">
        <v>1</v>
      </c>
      <c r="G218" s="9">
        <v>25</v>
      </c>
      <c r="H218" s="9">
        <v>12.73</v>
      </c>
      <c r="I218" s="22">
        <f t="shared" si="12"/>
        <v>0.22333333333333333</v>
      </c>
      <c r="J218" s="22" t="str">
        <f t="shared" si="13"/>
        <v>Low</v>
      </c>
      <c r="K218" s="24">
        <f t="shared" si="14"/>
        <v>25</v>
      </c>
      <c r="L218" s="27" t="str">
        <f t="shared" si="15"/>
        <v>Low</v>
      </c>
    </row>
    <row r="219" spans="1:12" x14ac:dyDescent="0.2">
      <c r="A219" s="3" t="s">
        <v>225</v>
      </c>
      <c r="B219" s="3" t="s">
        <v>386</v>
      </c>
      <c r="C219" s="3" t="s">
        <v>313</v>
      </c>
      <c r="D219" s="4">
        <v>42370</v>
      </c>
      <c r="E219" s="3">
        <v>8</v>
      </c>
      <c r="F219" s="3">
        <v>1</v>
      </c>
      <c r="G219" s="9">
        <v>24</v>
      </c>
      <c r="H219" s="9">
        <v>15.04</v>
      </c>
      <c r="I219" s="22">
        <f t="shared" si="12"/>
        <v>1.88</v>
      </c>
      <c r="J219" s="22" t="str">
        <f t="shared" si="13"/>
        <v>High</v>
      </c>
      <c r="K219" s="24">
        <f t="shared" si="14"/>
        <v>24</v>
      </c>
      <c r="L219" s="27" t="str">
        <f t="shared" si="15"/>
        <v>Low</v>
      </c>
    </row>
    <row r="220" spans="1:12" x14ac:dyDescent="0.2">
      <c r="A220" s="3" t="s">
        <v>226</v>
      </c>
      <c r="B220" s="3" t="s">
        <v>386</v>
      </c>
      <c r="C220" s="3" t="s">
        <v>341</v>
      </c>
      <c r="D220" s="4">
        <v>42401</v>
      </c>
      <c r="E220" s="3">
        <v>34</v>
      </c>
      <c r="F220" s="3">
        <v>1</v>
      </c>
      <c r="G220" s="9">
        <v>23</v>
      </c>
      <c r="H220" s="9">
        <v>8.14</v>
      </c>
      <c r="I220" s="22">
        <f t="shared" si="12"/>
        <v>0.23941176470588238</v>
      </c>
      <c r="J220" s="22" t="str">
        <f t="shared" si="13"/>
        <v>Low</v>
      </c>
      <c r="K220" s="24">
        <f t="shared" si="14"/>
        <v>23</v>
      </c>
      <c r="L220" s="27" t="str">
        <f t="shared" si="15"/>
        <v>Low</v>
      </c>
    </row>
    <row r="221" spans="1:12" x14ac:dyDescent="0.2">
      <c r="A221" s="3" t="s">
        <v>228</v>
      </c>
      <c r="B221" s="3" t="s">
        <v>237</v>
      </c>
      <c r="C221" s="3" t="s">
        <v>313</v>
      </c>
      <c r="D221" s="4">
        <v>42401</v>
      </c>
      <c r="E221" s="3">
        <v>11</v>
      </c>
      <c r="F221" s="3">
        <v>1</v>
      </c>
      <c r="G221" s="9">
        <v>22</v>
      </c>
      <c r="H221" s="9">
        <v>17.47</v>
      </c>
      <c r="I221" s="22">
        <f t="shared" si="12"/>
        <v>1.5881818181818181</v>
      </c>
      <c r="J221" s="22" t="str">
        <f t="shared" si="13"/>
        <v>High</v>
      </c>
      <c r="K221" s="24">
        <f t="shared" si="14"/>
        <v>22</v>
      </c>
      <c r="L221" s="27" t="str">
        <f t="shared" si="15"/>
        <v>Low</v>
      </c>
    </row>
    <row r="222" spans="1:12" x14ac:dyDescent="0.2">
      <c r="A222" s="3" t="s">
        <v>227</v>
      </c>
      <c r="B222" s="3" t="s">
        <v>22</v>
      </c>
      <c r="C222" s="3" t="s">
        <v>383</v>
      </c>
      <c r="D222" s="4">
        <v>42370</v>
      </c>
      <c r="E222" s="3">
        <v>158</v>
      </c>
      <c r="F222" s="3">
        <v>1</v>
      </c>
      <c r="G222" s="9">
        <v>22</v>
      </c>
      <c r="H222" s="9">
        <v>195.25</v>
      </c>
      <c r="I222" s="22">
        <f t="shared" si="12"/>
        <v>1.235759493670886</v>
      </c>
      <c r="J222" s="22" t="str">
        <f t="shared" si="13"/>
        <v>Medium</v>
      </c>
      <c r="K222" s="24">
        <f t="shared" si="14"/>
        <v>22</v>
      </c>
      <c r="L222" s="27" t="str">
        <f t="shared" si="15"/>
        <v>Low</v>
      </c>
    </row>
    <row r="223" spans="1:12" x14ac:dyDescent="0.2">
      <c r="A223" s="3" t="s">
        <v>214</v>
      </c>
      <c r="B223" s="3" t="s">
        <v>386</v>
      </c>
      <c r="C223" s="3" t="s">
        <v>341</v>
      </c>
      <c r="D223" s="4">
        <v>42370</v>
      </c>
      <c r="E223" s="3">
        <v>41</v>
      </c>
      <c r="F223" s="3">
        <v>1</v>
      </c>
      <c r="G223" s="9">
        <v>22</v>
      </c>
      <c r="H223" s="9">
        <v>76.95</v>
      </c>
      <c r="I223" s="22">
        <f t="shared" si="12"/>
        <v>1.876829268292683</v>
      </c>
      <c r="J223" s="22" t="str">
        <f t="shared" si="13"/>
        <v>High</v>
      </c>
      <c r="K223" s="24">
        <f t="shared" si="14"/>
        <v>22</v>
      </c>
      <c r="L223" s="27" t="str">
        <f t="shared" si="15"/>
        <v>Low</v>
      </c>
    </row>
    <row r="224" spans="1:12" x14ac:dyDescent="0.2">
      <c r="A224" s="3" t="s">
        <v>230</v>
      </c>
      <c r="B224" s="3" t="s">
        <v>386</v>
      </c>
      <c r="C224" s="3" t="s">
        <v>313</v>
      </c>
      <c r="D224" s="4">
        <v>42401</v>
      </c>
      <c r="E224" s="3">
        <v>8</v>
      </c>
      <c r="F224" s="3">
        <v>1</v>
      </c>
      <c r="G224" s="9">
        <v>20.99</v>
      </c>
      <c r="H224" s="9">
        <v>2.21</v>
      </c>
      <c r="I224" s="22">
        <f t="shared" si="12"/>
        <v>0.27625</v>
      </c>
      <c r="J224" s="22" t="str">
        <f t="shared" si="13"/>
        <v>Low</v>
      </c>
      <c r="K224" s="24">
        <f t="shared" si="14"/>
        <v>20.99</v>
      </c>
      <c r="L224" s="27" t="str">
        <f t="shared" si="15"/>
        <v>Low</v>
      </c>
    </row>
    <row r="225" spans="1:12" x14ac:dyDescent="0.2">
      <c r="A225" s="3" t="s">
        <v>231</v>
      </c>
      <c r="B225" s="3" t="s">
        <v>386</v>
      </c>
      <c r="C225" s="3" t="s">
        <v>313</v>
      </c>
      <c r="D225" s="4">
        <v>42430</v>
      </c>
      <c r="E225" s="3">
        <v>46</v>
      </c>
      <c r="F225" s="3">
        <v>1</v>
      </c>
      <c r="G225" s="9">
        <v>18.61</v>
      </c>
      <c r="H225" s="9">
        <v>61.17</v>
      </c>
      <c r="I225" s="22">
        <f t="shared" si="12"/>
        <v>1.3297826086956521</v>
      </c>
      <c r="J225" s="22" t="str">
        <f t="shared" si="13"/>
        <v>Medium</v>
      </c>
      <c r="K225" s="24">
        <f t="shared" si="14"/>
        <v>18.61</v>
      </c>
      <c r="L225" s="27" t="str">
        <f t="shared" si="15"/>
        <v>Low</v>
      </c>
    </row>
    <row r="226" spans="1:12" x14ac:dyDescent="0.2">
      <c r="A226" s="3" t="s">
        <v>232</v>
      </c>
      <c r="B226" s="3" t="s">
        <v>386</v>
      </c>
      <c r="C226" s="3" t="s">
        <v>384</v>
      </c>
      <c r="D226" s="4">
        <v>42401</v>
      </c>
      <c r="E226" s="3">
        <v>116</v>
      </c>
      <c r="F226" s="3">
        <v>1</v>
      </c>
      <c r="G226" s="9">
        <v>18</v>
      </c>
      <c r="H226" s="9">
        <v>61.92</v>
      </c>
      <c r="I226" s="22">
        <f t="shared" si="12"/>
        <v>0.53379310344827591</v>
      </c>
      <c r="J226" s="22" t="str">
        <f t="shared" si="13"/>
        <v>Medium</v>
      </c>
      <c r="K226" s="24">
        <f t="shared" si="14"/>
        <v>18</v>
      </c>
      <c r="L226" s="27" t="str">
        <f t="shared" si="15"/>
        <v>Low</v>
      </c>
    </row>
    <row r="227" spans="1:12" x14ac:dyDescent="0.2">
      <c r="A227" s="3" t="s">
        <v>233</v>
      </c>
      <c r="B227" s="3" t="s">
        <v>386</v>
      </c>
      <c r="C227" s="3" t="s">
        <v>313</v>
      </c>
      <c r="D227" s="4">
        <v>42401</v>
      </c>
      <c r="E227" s="3">
        <v>25</v>
      </c>
      <c r="F227" s="3">
        <v>1</v>
      </c>
      <c r="G227" s="9">
        <v>18</v>
      </c>
      <c r="H227" s="9">
        <v>21.5</v>
      </c>
      <c r="I227" s="22">
        <f t="shared" si="12"/>
        <v>0.86</v>
      </c>
      <c r="J227" s="22" t="str">
        <f t="shared" si="13"/>
        <v>Medium</v>
      </c>
      <c r="K227" s="24">
        <f t="shared" si="14"/>
        <v>18</v>
      </c>
      <c r="L227" s="27" t="str">
        <f t="shared" si="15"/>
        <v>Low</v>
      </c>
    </row>
    <row r="228" spans="1:12" x14ac:dyDescent="0.2">
      <c r="A228" s="3" t="s">
        <v>234</v>
      </c>
      <c r="B228" s="3" t="s">
        <v>386</v>
      </c>
      <c r="C228" s="3" t="s">
        <v>341</v>
      </c>
      <c r="D228" s="4">
        <v>42430</v>
      </c>
      <c r="E228" s="3">
        <v>33</v>
      </c>
      <c r="F228" s="3">
        <v>1</v>
      </c>
      <c r="G228" s="9">
        <v>17.989999999999998</v>
      </c>
      <c r="H228" s="9">
        <v>39.700000000000003</v>
      </c>
      <c r="I228" s="22">
        <f t="shared" si="12"/>
        <v>1.2030303030303031</v>
      </c>
      <c r="J228" s="22" t="str">
        <f t="shared" si="13"/>
        <v>Medium</v>
      </c>
      <c r="K228" s="24">
        <f t="shared" si="14"/>
        <v>17.989999999999998</v>
      </c>
      <c r="L228" s="27" t="str">
        <f t="shared" si="15"/>
        <v>Low</v>
      </c>
    </row>
    <row r="229" spans="1:12" x14ac:dyDescent="0.2">
      <c r="A229" s="3" t="s">
        <v>235</v>
      </c>
      <c r="B229" s="3" t="s">
        <v>237</v>
      </c>
      <c r="C229" s="3" t="s">
        <v>313</v>
      </c>
      <c r="D229" s="4">
        <v>42370</v>
      </c>
      <c r="E229" s="3">
        <v>19</v>
      </c>
      <c r="F229" s="3">
        <v>1</v>
      </c>
      <c r="G229" s="9">
        <v>15.5</v>
      </c>
      <c r="H229" s="9">
        <v>30.79</v>
      </c>
      <c r="I229" s="22">
        <f t="shared" si="12"/>
        <v>1.6205263157894736</v>
      </c>
      <c r="J229" s="22" t="str">
        <f t="shared" si="13"/>
        <v>High</v>
      </c>
      <c r="K229" s="24">
        <f t="shared" si="14"/>
        <v>15.5</v>
      </c>
      <c r="L229" s="27" t="str">
        <f t="shared" si="15"/>
        <v>Low</v>
      </c>
    </row>
    <row r="230" spans="1:12" x14ac:dyDescent="0.2">
      <c r="A230" s="3" t="s">
        <v>236</v>
      </c>
      <c r="B230" s="3" t="s">
        <v>386</v>
      </c>
      <c r="C230" s="3" t="s">
        <v>341</v>
      </c>
      <c r="D230" s="4">
        <v>42401</v>
      </c>
      <c r="E230" s="3">
        <v>76</v>
      </c>
      <c r="F230" s="3">
        <v>1</v>
      </c>
      <c r="G230" s="9">
        <v>15</v>
      </c>
      <c r="H230" s="9">
        <v>49.86</v>
      </c>
      <c r="I230" s="22">
        <f t="shared" si="12"/>
        <v>0.65605263157894733</v>
      </c>
      <c r="J230" s="22" t="str">
        <f t="shared" si="13"/>
        <v>Medium</v>
      </c>
      <c r="K230" s="24">
        <f t="shared" si="14"/>
        <v>15</v>
      </c>
      <c r="L230" s="27" t="str">
        <f t="shared" si="15"/>
        <v>Low</v>
      </c>
    </row>
    <row r="231" spans="1:12" x14ac:dyDescent="0.2">
      <c r="A231" s="3" t="s">
        <v>238</v>
      </c>
      <c r="B231" s="3" t="s">
        <v>386</v>
      </c>
      <c r="C231" s="3" t="s">
        <v>313</v>
      </c>
      <c r="D231" s="4">
        <v>42430</v>
      </c>
      <c r="E231" s="3">
        <v>8</v>
      </c>
      <c r="F231" s="3">
        <v>1</v>
      </c>
      <c r="G231" s="9">
        <v>14</v>
      </c>
      <c r="H231" s="9">
        <v>6.11</v>
      </c>
      <c r="I231" s="22">
        <f t="shared" si="12"/>
        <v>0.76375000000000004</v>
      </c>
      <c r="J231" s="22" t="str">
        <f t="shared" si="13"/>
        <v>Medium</v>
      </c>
      <c r="K231" s="24">
        <f t="shared" si="14"/>
        <v>14</v>
      </c>
      <c r="L231" s="27" t="str">
        <f t="shared" si="15"/>
        <v>Low</v>
      </c>
    </row>
    <row r="232" spans="1:12" x14ac:dyDescent="0.2">
      <c r="A232" s="3" t="s">
        <v>239</v>
      </c>
      <c r="B232" s="3" t="s">
        <v>22</v>
      </c>
      <c r="C232" s="3" t="s">
        <v>313</v>
      </c>
      <c r="D232" s="4">
        <v>42401</v>
      </c>
      <c r="E232" s="3">
        <v>12</v>
      </c>
      <c r="F232" s="3">
        <v>1</v>
      </c>
      <c r="G232" s="9">
        <v>12.5</v>
      </c>
      <c r="H232" s="9">
        <v>3.64</v>
      </c>
      <c r="I232" s="22">
        <f t="shared" si="12"/>
        <v>0.30333333333333334</v>
      </c>
      <c r="J232" s="22" t="str">
        <f t="shared" si="13"/>
        <v>Low</v>
      </c>
      <c r="K232" s="24">
        <f t="shared" si="14"/>
        <v>12.5</v>
      </c>
      <c r="L232" s="27" t="str">
        <f t="shared" si="15"/>
        <v>Low</v>
      </c>
    </row>
    <row r="233" spans="1:12" x14ac:dyDescent="0.2">
      <c r="A233" s="3" t="s">
        <v>240</v>
      </c>
      <c r="B233" s="3" t="s">
        <v>385</v>
      </c>
      <c r="C233" s="3" t="s">
        <v>383</v>
      </c>
      <c r="D233" s="4">
        <v>42370</v>
      </c>
      <c r="E233" s="3">
        <v>55</v>
      </c>
      <c r="F233" s="3">
        <v>1</v>
      </c>
      <c r="G233" s="9">
        <v>11.4</v>
      </c>
      <c r="H233" s="9">
        <v>19.82</v>
      </c>
      <c r="I233" s="22">
        <f t="shared" si="12"/>
        <v>0.36036363636363639</v>
      </c>
      <c r="J233" s="22" t="str">
        <f t="shared" si="13"/>
        <v>Low</v>
      </c>
      <c r="K233" s="24">
        <f t="shared" si="14"/>
        <v>11.4</v>
      </c>
      <c r="L233" s="27" t="str">
        <f t="shared" si="15"/>
        <v>Low</v>
      </c>
    </row>
    <row r="234" spans="1:12" x14ac:dyDescent="0.2">
      <c r="A234" s="3" t="s">
        <v>243</v>
      </c>
      <c r="B234" s="3" t="s">
        <v>386</v>
      </c>
      <c r="C234" s="3" t="s">
        <v>313</v>
      </c>
      <c r="D234" s="4">
        <v>42401</v>
      </c>
      <c r="E234" s="3">
        <v>4</v>
      </c>
      <c r="F234" s="3">
        <v>1</v>
      </c>
      <c r="G234" s="9">
        <v>8.5</v>
      </c>
      <c r="H234" s="9">
        <v>0.5</v>
      </c>
      <c r="I234" s="22">
        <f t="shared" si="12"/>
        <v>0.125</v>
      </c>
      <c r="J234" s="22" t="str">
        <f t="shared" si="13"/>
        <v>Low</v>
      </c>
      <c r="K234" s="24">
        <f t="shared" si="14"/>
        <v>8.5</v>
      </c>
      <c r="L234" s="27" t="str">
        <f t="shared" si="15"/>
        <v>Low</v>
      </c>
    </row>
    <row r="235" spans="1:12" x14ac:dyDescent="0.2">
      <c r="A235" s="3" t="s">
        <v>242</v>
      </c>
      <c r="B235" s="3" t="s">
        <v>386</v>
      </c>
      <c r="C235" s="3" t="s">
        <v>313</v>
      </c>
      <c r="D235" s="4">
        <v>42401</v>
      </c>
      <c r="E235" s="3">
        <v>4</v>
      </c>
      <c r="F235" s="3">
        <v>1</v>
      </c>
      <c r="G235" s="9">
        <v>8.5</v>
      </c>
      <c r="H235" s="9">
        <v>0.82</v>
      </c>
      <c r="I235" s="22">
        <f t="shared" si="12"/>
        <v>0.20499999999999999</v>
      </c>
      <c r="J235" s="22" t="str">
        <f t="shared" si="13"/>
        <v>Low</v>
      </c>
      <c r="K235" s="24">
        <f t="shared" si="14"/>
        <v>8.5</v>
      </c>
      <c r="L235" s="27" t="str">
        <f t="shared" si="15"/>
        <v>Low</v>
      </c>
    </row>
    <row r="236" spans="1:12" x14ac:dyDescent="0.2">
      <c r="A236" s="3" t="s">
        <v>244</v>
      </c>
      <c r="B236" s="3" t="s">
        <v>385</v>
      </c>
      <c r="C236" s="3" t="s">
        <v>364</v>
      </c>
      <c r="D236" s="4">
        <v>42370</v>
      </c>
      <c r="E236" s="3">
        <v>10</v>
      </c>
      <c r="F236" s="3">
        <v>1</v>
      </c>
      <c r="G236" s="9">
        <v>7.97</v>
      </c>
      <c r="H236" s="9">
        <v>18.89</v>
      </c>
      <c r="I236" s="22">
        <f t="shared" si="12"/>
        <v>1.889</v>
      </c>
      <c r="J236" s="22" t="str">
        <f t="shared" si="13"/>
        <v>High</v>
      </c>
      <c r="K236" s="24">
        <f t="shared" si="14"/>
        <v>7.97</v>
      </c>
      <c r="L236" s="27" t="str">
        <f t="shared" si="15"/>
        <v>Low</v>
      </c>
    </row>
    <row r="237" spans="1:12" x14ac:dyDescent="0.2">
      <c r="A237" s="3" t="s">
        <v>245</v>
      </c>
      <c r="B237" s="3" t="s">
        <v>386</v>
      </c>
      <c r="C237" s="3" t="s">
        <v>384</v>
      </c>
      <c r="D237" s="4">
        <v>42430</v>
      </c>
      <c r="E237" s="3">
        <v>47</v>
      </c>
      <c r="F237" s="3">
        <v>1</v>
      </c>
      <c r="G237" s="9">
        <v>7.97</v>
      </c>
      <c r="H237" s="9">
        <v>25.6</v>
      </c>
      <c r="I237" s="22">
        <f t="shared" si="12"/>
        <v>0.5446808510638298</v>
      </c>
      <c r="J237" s="22" t="str">
        <f t="shared" si="13"/>
        <v>Medium</v>
      </c>
      <c r="K237" s="24">
        <f t="shared" si="14"/>
        <v>7.97</v>
      </c>
      <c r="L237" s="27" t="str">
        <f t="shared" si="15"/>
        <v>Low</v>
      </c>
    </row>
    <row r="238" spans="1:12" x14ac:dyDescent="0.2">
      <c r="A238" s="3" t="s">
        <v>246</v>
      </c>
      <c r="B238" s="3" t="s">
        <v>388</v>
      </c>
      <c r="C238" s="3" t="s">
        <v>384</v>
      </c>
      <c r="D238" s="4">
        <v>42430</v>
      </c>
      <c r="E238" s="3">
        <v>31</v>
      </c>
      <c r="F238" s="3">
        <v>1</v>
      </c>
      <c r="G238" s="9">
        <v>7.8</v>
      </c>
      <c r="H238" s="9">
        <v>11</v>
      </c>
      <c r="I238" s="22">
        <f t="shared" si="12"/>
        <v>0.35483870967741937</v>
      </c>
      <c r="J238" s="22" t="str">
        <f t="shared" si="13"/>
        <v>Low</v>
      </c>
      <c r="K238" s="24">
        <f t="shared" si="14"/>
        <v>7.8</v>
      </c>
      <c r="L238" s="27" t="str">
        <f t="shared" si="15"/>
        <v>Low</v>
      </c>
    </row>
    <row r="239" spans="1:12" x14ac:dyDescent="0.2">
      <c r="A239" s="3" t="s">
        <v>390</v>
      </c>
      <c r="B239" s="3" t="s">
        <v>386</v>
      </c>
      <c r="C239" s="3" t="s">
        <v>341</v>
      </c>
      <c r="D239" s="4">
        <v>42370</v>
      </c>
      <c r="E239" s="3">
        <v>108</v>
      </c>
      <c r="F239" s="3">
        <v>1</v>
      </c>
      <c r="G239" s="9">
        <v>5.99</v>
      </c>
      <c r="H239" s="9">
        <v>185.6</v>
      </c>
      <c r="I239" s="22">
        <f t="shared" si="12"/>
        <v>1.7185185185185186</v>
      </c>
      <c r="J239" s="22" t="str">
        <f t="shared" si="13"/>
        <v>High</v>
      </c>
      <c r="K239" s="24">
        <f t="shared" si="14"/>
        <v>5.99</v>
      </c>
      <c r="L239" s="27" t="str">
        <f t="shared" si="15"/>
        <v>Low</v>
      </c>
    </row>
    <row r="240" spans="1:12" x14ac:dyDescent="0.2">
      <c r="A240" s="3" t="s">
        <v>380</v>
      </c>
      <c r="B240" s="3" t="s">
        <v>22</v>
      </c>
      <c r="C240" s="3" t="s">
        <v>384</v>
      </c>
      <c r="D240" s="4">
        <v>42401</v>
      </c>
      <c r="E240" s="3">
        <v>8</v>
      </c>
      <c r="F240" s="3">
        <v>0</v>
      </c>
      <c r="G240" s="9">
        <v>0</v>
      </c>
      <c r="H240" s="9">
        <v>2.36</v>
      </c>
      <c r="I240" s="22">
        <f t="shared" si="12"/>
        <v>0.29499999999999998</v>
      </c>
      <c r="J240" s="22" t="str">
        <f t="shared" si="13"/>
        <v>Low</v>
      </c>
      <c r="K240" s="24" t="str">
        <f t="shared" si="14"/>
        <v/>
      </c>
      <c r="L240" s="27" t="str">
        <f t="shared" si="15"/>
        <v>Untested</v>
      </c>
    </row>
    <row r="241" spans="1:12" x14ac:dyDescent="0.2">
      <c r="A241" s="3" t="s">
        <v>255</v>
      </c>
      <c r="B241" s="3" t="s">
        <v>386</v>
      </c>
      <c r="C241" s="3" t="s">
        <v>384</v>
      </c>
      <c r="D241" s="4">
        <v>42401</v>
      </c>
      <c r="E241" s="3">
        <v>15</v>
      </c>
      <c r="F241" s="3">
        <v>0</v>
      </c>
      <c r="G241" s="9">
        <v>0</v>
      </c>
      <c r="H241" s="9">
        <v>14.94</v>
      </c>
      <c r="I241" s="22">
        <f t="shared" si="12"/>
        <v>0.996</v>
      </c>
      <c r="J241" s="22" t="str">
        <f t="shared" si="13"/>
        <v>Medium</v>
      </c>
      <c r="K241" s="24" t="str">
        <f t="shared" si="14"/>
        <v/>
      </c>
      <c r="L241" s="27" t="str">
        <f t="shared" si="15"/>
        <v>Untested</v>
      </c>
    </row>
    <row r="242" spans="1:12" x14ac:dyDescent="0.2">
      <c r="A242" s="3" t="s">
        <v>373</v>
      </c>
      <c r="B242" s="3" t="s">
        <v>22</v>
      </c>
      <c r="C242" s="3" t="s">
        <v>313</v>
      </c>
      <c r="D242" s="4">
        <v>42401</v>
      </c>
      <c r="E242" s="3">
        <v>9</v>
      </c>
      <c r="F242" s="3">
        <v>0</v>
      </c>
      <c r="G242" s="9">
        <v>0</v>
      </c>
      <c r="H242" s="9">
        <v>0.97</v>
      </c>
      <c r="I242" s="22">
        <f t="shared" si="12"/>
        <v>0.10777777777777778</v>
      </c>
      <c r="J242" s="22" t="str">
        <f t="shared" si="13"/>
        <v>Low</v>
      </c>
      <c r="K242" s="24" t="str">
        <f t="shared" si="14"/>
        <v/>
      </c>
      <c r="L242" s="27" t="str">
        <f t="shared" si="15"/>
        <v>Untested</v>
      </c>
    </row>
    <row r="243" spans="1:12" x14ac:dyDescent="0.2">
      <c r="A243" s="3" t="s">
        <v>256</v>
      </c>
      <c r="B243" s="3" t="s">
        <v>386</v>
      </c>
      <c r="C243" s="3" t="s">
        <v>341</v>
      </c>
      <c r="D243" s="4">
        <v>42401</v>
      </c>
      <c r="E243" s="3">
        <v>10</v>
      </c>
      <c r="F243" s="3">
        <v>0</v>
      </c>
      <c r="G243" s="9">
        <v>0</v>
      </c>
      <c r="H243" s="9">
        <v>2.89</v>
      </c>
      <c r="I243" s="22">
        <f t="shared" si="12"/>
        <v>0.28900000000000003</v>
      </c>
      <c r="J243" s="22" t="str">
        <f t="shared" si="13"/>
        <v>Low</v>
      </c>
      <c r="K243" s="24" t="str">
        <f t="shared" si="14"/>
        <v/>
      </c>
      <c r="L243" s="27" t="str">
        <f t="shared" si="15"/>
        <v>Untested</v>
      </c>
    </row>
    <row r="244" spans="1:12" x14ac:dyDescent="0.2">
      <c r="A244" s="3" t="s">
        <v>114</v>
      </c>
      <c r="B244" s="3" t="s">
        <v>386</v>
      </c>
      <c r="C244" s="3" t="s">
        <v>341</v>
      </c>
      <c r="D244" s="4">
        <v>42430</v>
      </c>
      <c r="E244" s="3">
        <v>17</v>
      </c>
      <c r="F244" s="3">
        <v>0</v>
      </c>
      <c r="G244" s="9">
        <v>0</v>
      </c>
      <c r="H244" s="9">
        <v>39.700000000000003</v>
      </c>
      <c r="I244" s="22">
        <f t="shared" si="12"/>
        <v>2.335294117647059</v>
      </c>
      <c r="J244" s="22" t="str">
        <f t="shared" si="13"/>
        <v>High</v>
      </c>
      <c r="K244" s="24" t="str">
        <f t="shared" si="14"/>
        <v/>
      </c>
      <c r="L244" s="27" t="str">
        <f t="shared" si="15"/>
        <v>Untested</v>
      </c>
    </row>
    <row r="245" spans="1:12" x14ac:dyDescent="0.2">
      <c r="A245" s="3" t="s">
        <v>318</v>
      </c>
      <c r="B245" s="3" t="s">
        <v>386</v>
      </c>
      <c r="C245" s="3" t="s">
        <v>341</v>
      </c>
      <c r="D245" s="4">
        <v>42401</v>
      </c>
      <c r="E245" s="3">
        <v>32</v>
      </c>
      <c r="F245" s="3">
        <v>0</v>
      </c>
      <c r="G245" s="9">
        <v>0</v>
      </c>
      <c r="H245" s="9">
        <v>8</v>
      </c>
      <c r="I245" s="22">
        <f t="shared" si="12"/>
        <v>0.25</v>
      </c>
      <c r="J245" s="22" t="str">
        <f t="shared" si="13"/>
        <v>Low</v>
      </c>
      <c r="K245" s="24" t="str">
        <f t="shared" si="14"/>
        <v/>
      </c>
      <c r="L245" s="27" t="str">
        <f t="shared" si="15"/>
        <v>Untested</v>
      </c>
    </row>
    <row r="246" spans="1:12" x14ac:dyDescent="0.2">
      <c r="A246" s="3" t="s">
        <v>362</v>
      </c>
      <c r="B246" s="3" t="s">
        <v>386</v>
      </c>
      <c r="C246" s="3" t="s">
        <v>341</v>
      </c>
      <c r="D246" s="4">
        <v>42430</v>
      </c>
      <c r="E246" s="3">
        <v>5</v>
      </c>
      <c r="F246" s="3">
        <v>0</v>
      </c>
      <c r="G246" s="9">
        <v>0</v>
      </c>
      <c r="H246" s="9">
        <v>5.92</v>
      </c>
      <c r="I246" s="22">
        <f t="shared" si="12"/>
        <v>1.1839999999999999</v>
      </c>
      <c r="J246" s="22" t="str">
        <f t="shared" si="13"/>
        <v>Medium</v>
      </c>
      <c r="K246" s="24" t="str">
        <f t="shared" si="14"/>
        <v/>
      </c>
      <c r="L246" s="27" t="str">
        <f t="shared" si="15"/>
        <v>Untested</v>
      </c>
    </row>
    <row r="247" spans="1:12" x14ac:dyDescent="0.2">
      <c r="A247" s="3" t="s">
        <v>257</v>
      </c>
      <c r="B247" s="3" t="s">
        <v>386</v>
      </c>
      <c r="C247" s="3" t="s">
        <v>341</v>
      </c>
      <c r="D247" s="4">
        <v>42430</v>
      </c>
      <c r="E247" s="3">
        <v>29</v>
      </c>
      <c r="F247" s="3">
        <v>0</v>
      </c>
      <c r="G247" s="9">
        <v>0</v>
      </c>
      <c r="H247" s="9">
        <v>6.88</v>
      </c>
      <c r="I247" s="22">
        <f t="shared" si="12"/>
        <v>0.23724137931034484</v>
      </c>
      <c r="J247" s="22" t="str">
        <f t="shared" si="13"/>
        <v>Low</v>
      </c>
      <c r="K247" s="24" t="str">
        <f t="shared" si="14"/>
        <v/>
      </c>
      <c r="L247" s="27" t="str">
        <f t="shared" si="15"/>
        <v>Untested</v>
      </c>
    </row>
    <row r="248" spans="1:12" x14ac:dyDescent="0.2">
      <c r="A248" s="3" t="s">
        <v>282</v>
      </c>
      <c r="B248" s="3" t="s">
        <v>386</v>
      </c>
      <c r="C248" s="3" t="s">
        <v>341</v>
      </c>
      <c r="D248" s="4">
        <v>42370</v>
      </c>
      <c r="E248" s="3">
        <v>13</v>
      </c>
      <c r="F248" s="3">
        <v>0</v>
      </c>
      <c r="G248" s="9">
        <v>0</v>
      </c>
      <c r="H248" s="9">
        <v>4.2699999999999996</v>
      </c>
      <c r="I248" s="22">
        <f t="shared" si="12"/>
        <v>0.32846153846153842</v>
      </c>
      <c r="J248" s="22" t="str">
        <f t="shared" si="13"/>
        <v>Low</v>
      </c>
      <c r="K248" s="24" t="str">
        <f t="shared" si="14"/>
        <v/>
      </c>
      <c r="L248" s="27" t="str">
        <f t="shared" si="15"/>
        <v>Untested</v>
      </c>
    </row>
    <row r="249" spans="1:12" x14ac:dyDescent="0.2">
      <c r="A249" s="3" t="s">
        <v>315</v>
      </c>
      <c r="B249" s="3" t="s">
        <v>386</v>
      </c>
      <c r="C249" s="3" t="s">
        <v>341</v>
      </c>
      <c r="D249" s="4">
        <v>42401</v>
      </c>
      <c r="E249" s="3">
        <v>6</v>
      </c>
      <c r="F249" s="3">
        <v>0</v>
      </c>
      <c r="G249" s="9">
        <v>0</v>
      </c>
      <c r="H249" s="9">
        <v>7.64</v>
      </c>
      <c r="I249" s="22">
        <f t="shared" si="12"/>
        <v>1.2733333333333332</v>
      </c>
      <c r="J249" s="22" t="str">
        <f t="shared" si="13"/>
        <v>Medium</v>
      </c>
      <c r="K249" s="24" t="str">
        <f t="shared" si="14"/>
        <v/>
      </c>
      <c r="L249" s="27" t="str">
        <f t="shared" si="15"/>
        <v>Untested</v>
      </c>
    </row>
    <row r="250" spans="1:12" x14ac:dyDescent="0.2">
      <c r="A250" s="3" t="s">
        <v>319</v>
      </c>
      <c r="B250" s="3" t="s">
        <v>386</v>
      </c>
      <c r="C250" s="3" t="s">
        <v>341</v>
      </c>
      <c r="D250" s="4">
        <v>42430</v>
      </c>
      <c r="E250" s="3">
        <v>22</v>
      </c>
      <c r="F250" s="3">
        <v>0</v>
      </c>
      <c r="G250" s="9">
        <v>0</v>
      </c>
      <c r="H250" s="9">
        <v>5.12</v>
      </c>
      <c r="I250" s="22">
        <f t="shared" si="12"/>
        <v>0.23272727272727273</v>
      </c>
      <c r="J250" s="22" t="str">
        <f t="shared" si="13"/>
        <v>Low</v>
      </c>
      <c r="K250" s="24" t="str">
        <f t="shared" si="14"/>
        <v/>
      </c>
      <c r="L250" s="27" t="str">
        <f t="shared" si="15"/>
        <v>Untested</v>
      </c>
    </row>
    <row r="251" spans="1:12" x14ac:dyDescent="0.2">
      <c r="A251" s="3" t="s">
        <v>363</v>
      </c>
      <c r="B251" s="3" t="s">
        <v>386</v>
      </c>
      <c r="C251" s="3" t="s">
        <v>341</v>
      </c>
      <c r="D251" s="4">
        <v>42370</v>
      </c>
      <c r="E251" s="3">
        <v>46</v>
      </c>
      <c r="F251" s="3">
        <v>0</v>
      </c>
      <c r="G251" s="9">
        <v>0</v>
      </c>
      <c r="H251" s="9">
        <v>51.2</v>
      </c>
      <c r="I251" s="22">
        <f t="shared" si="12"/>
        <v>1.1130434782608696</v>
      </c>
      <c r="J251" s="22" t="str">
        <f t="shared" si="13"/>
        <v>Medium</v>
      </c>
      <c r="K251" s="24" t="str">
        <f t="shared" si="14"/>
        <v/>
      </c>
      <c r="L251" s="27" t="str">
        <f t="shared" si="15"/>
        <v>Untested</v>
      </c>
    </row>
    <row r="252" spans="1:12" x14ac:dyDescent="0.2">
      <c r="A252" s="3" t="s">
        <v>258</v>
      </c>
      <c r="B252" s="3" t="s">
        <v>386</v>
      </c>
      <c r="C252" s="3" t="s">
        <v>341</v>
      </c>
      <c r="D252" s="4">
        <v>42430</v>
      </c>
      <c r="E252" s="3">
        <v>23</v>
      </c>
      <c r="F252" s="3">
        <v>0</v>
      </c>
      <c r="G252" s="9">
        <v>0</v>
      </c>
      <c r="H252" s="9">
        <v>16.920000000000002</v>
      </c>
      <c r="I252" s="22">
        <f t="shared" si="12"/>
        <v>0.73565217391304361</v>
      </c>
      <c r="J252" s="22" t="str">
        <f t="shared" si="13"/>
        <v>Medium</v>
      </c>
      <c r="K252" s="24" t="str">
        <f t="shared" si="14"/>
        <v/>
      </c>
      <c r="L252" s="27" t="str">
        <f t="shared" si="15"/>
        <v>Untested</v>
      </c>
    </row>
    <row r="253" spans="1:12" x14ac:dyDescent="0.2">
      <c r="A253" s="3" t="s">
        <v>224</v>
      </c>
      <c r="B253" s="3" t="s">
        <v>386</v>
      </c>
      <c r="C253" s="3" t="s">
        <v>341</v>
      </c>
      <c r="D253" s="4">
        <v>42430</v>
      </c>
      <c r="E253" s="3">
        <v>11</v>
      </c>
      <c r="F253" s="3">
        <v>0</v>
      </c>
      <c r="G253" s="9">
        <v>0</v>
      </c>
      <c r="H253" s="9">
        <v>19.899999999999999</v>
      </c>
      <c r="I253" s="22">
        <f t="shared" si="12"/>
        <v>1.8090909090909089</v>
      </c>
      <c r="J253" s="22" t="str">
        <f t="shared" si="13"/>
        <v>High</v>
      </c>
      <c r="K253" s="24" t="str">
        <f t="shared" si="14"/>
        <v/>
      </c>
      <c r="L253" s="27" t="str">
        <f t="shared" si="15"/>
        <v>Untested</v>
      </c>
    </row>
    <row r="254" spans="1:12" x14ac:dyDescent="0.2">
      <c r="A254" s="3" t="s">
        <v>360</v>
      </c>
      <c r="B254" s="3" t="s">
        <v>386</v>
      </c>
      <c r="C254" s="3" t="s">
        <v>341</v>
      </c>
      <c r="D254" s="4">
        <v>42430</v>
      </c>
      <c r="E254" s="3">
        <v>5</v>
      </c>
      <c r="F254" s="3">
        <v>0</v>
      </c>
      <c r="G254" s="9">
        <v>0</v>
      </c>
      <c r="H254" s="9">
        <v>6.44</v>
      </c>
      <c r="I254" s="22">
        <f t="shared" si="12"/>
        <v>1.288</v>
      </c>
      <c r="J254" s="22" t="str">
        <f t="shared" si="13"/>
        <v>Medium</v>
      </c>
      <c r="K254" s="24" t="str">
        <f t="shared" si="14"/>
        <v/>
      </c>
      <c r="L254" s="27" t="str">
        <f t="shared" si="15"/>
        <v>Untested</v>
      </c>
    </row>
    <row r="255" spans="1:12" x14ac:dyDescent="0.2">
      <c r="A255" s="3" t="s">
        <v>375</v>
      </c>
      <c r="B255" s="3" t="s">
        <v>22</v>
      </c>
      <c r="C255" s="3" t="s">
        <v>313</v>
      </c>
      <c r="D255" s="4">
        <v>42370</v>
      </c>
      <c r="E255" s="3">
        <v>0</v>
      </c>
      <c r="F255" s="3">
        <v>0</v>
      </c>
      <c r="G255" s="9">
        <v>0</v>
      </c>
      <c r="H255" s="9">
        <v>1.35</v>
      </c>
      <c r="I255" s="22" t="str">
        <f t="shared" si="12"/>
        <v/>
      </c>
      <c r="J255" s="22" t="str">
        <f t="shared" si="13"/>
        <v>Untested</v>
      </c>
      <c r="K255" s="24" t="str">
        <f t="shared" si="14"/>
        <v/>
      </c>
      <c r="L255" s="27" t="str">
        <f t="shared" si="15"/>
        <v>Untested</v>
      </c>
    </row>
    <row r="256" spans="1:12" x14ac:dyDescent="0.2">
      <c r="A256" s="3" t="s">
        <v>338</v>
      </c>
      <c r="B256" s="3" t="s">
        <v>386</v>
      </c>
      <c r="C256" s="3" t="s">
        <v>313</v>
      </c>
      <c r="D256" s="4">
        <v>42370</v>
      </c>
      <c r="E256" s="3">
        <v>4</v>
      </c>
      <c r="F256" s="3">
        <v>0</v>
      </c>
      <c r="G256" s="9">
        <v>0</v>
      </c>
      <c r="H256" s="9">
        <v>5.75</v>
      </c>
      <c r="I256" s="22">
        <f t="shared" si="12"/>
        <v>1.4375</v>
      </c>
      <c r="J256" s="22" t="str">
        <f t="shared" si="13"/>
        <v>Medium</v>
      </c>
      <c r="K256" s="24" t="str">
        <f t="shared" si="14"/>
        <v/>
      </c>
      <c r="L256" s="27" t="str">
        <f t="shared" si="15"/>
        <v>Untested</v>
      </c>
    </row>
    <row r="257" spans="1:12" x14ac:dyDescent="0.2">
      <c r="A257" s="3" t="s">
        <v>323</v>
      </c>
      <c r="B257" s="3" t="s">
        <v>386</v>
      </c>
      <c r="C257" s="3" t="s">
        <v>313</v>
      </c>
      <c r="D257" s="4">
        <v>42401</v>
      </c>
      <c r="E257" s="3">
        <v>14</v>
      </c>
      <c r="F257" s="3">
        <v>0</v>
      </c>
      <c r="G257" s="9">
        <v>0</v>
      </c>
      <c r="H257" s="9">
        <v>7.87</v>
      </c>
      <c r="I257" s="22">
        <f t="shared" si="12"/>
        <v>0.56214285714285717</v>
      </c>
      <c r="J257" s="22" t="str">
        <f t="shared" si="13"/>
        <v>Medium</v>
      </c>
      <c r="K257" s="24" t="str">
        <f t="shared" si="14"/>
        <v/>
      </c>
      <c r="L257" s="27" t="str">
        <f t="shared" si="15"/>
        <v>Untested</v>
      </c>
    </row>
    <row r="258" spans="1:12" x14ac:dyDescent="0.2">
      <c r="A258" s="3" t="s">
        <v>281</v>
      </c>
      <c r="B258" s="3" t="s">
        <v>386</v>
      </c>
      <c r="C258" s="3" t="s">
        <v>384</v>
      </c>
      <c r="D258" s="4">
        <v>42370</v>
      </c>
      <c r="E258" s="3">
        <v>20</v>
      </c>
      <c r="F258" s="3">
        <v>0</v>
      </c>
      <c r="G258" s="9">
        <v>0</v>
      </c>
      <c r="H258" s="9">
        <v>10.1</v>
      </c>
      <c r="I258" s="22">
        <f t="shared" si="12"/>
        <v>0.505</v>
      </c>
      <c r="J258" s="22" t="str">
        <f t="shared" si="13"/>
        <v>Medium</v>
      </c>
      <c r="K258" s="24" t="str">
        <f t="shared" si="14"/>
        <v/>
      </c>
      <c r="L258" s="27" t="str">
        <f t="shared" si="15"/>
        <v>Untested</v>
      </c>
    </row>
    <row r="259" spans="1:12" x14ac:dyDescent="0.2">
      <c r="A259" s="3" t="s">
        <v>393</v>
      </c>
      <c r="B259" s="3" t="s">
        <v>386</v>
      </c>
      <c r="C259" s="3" t="s">
        <v>384</v>
      </c>
      <c r="D259" s="4">
        <v>42401</v>
      </c>
      <c r="E259" s="3">
        <v>21</v>
      </c>
      <c r="F259" s="3">
        <v>0</v>
      </c>
      <c r="G259" s="9">
        <v>0</v>
      </c>
      <c r="H259" s="9">
        <v>26.08</v>
      </c>
      <c r="I259" s="22">
        <f t="shared" ref="I259:I322" si="16">IF(E259&gt;0,H259/E259,"")</f>
        <v>1.2419047619047618</v>
      </c>
      <c r="J259" s="22" t="str">
        <f t="shared" ref="J259:J322" si="17">IF(ISNUMBER(I259),IF(I259&lt;=0.5,"Low",IF(I259&lt;=1.5,"Medium","High")),"Untested")</f>
        <v>Medium</v>
      </c>
      <c r="K259" s="24" t="str">
        <f t="shared" ref="K259:K322" si="18">IF(G259&gt;0,G259/F259,"")</f>
        <v/>
      </c>
      <c r="L259" s="27" t="str">
        <f t="shared" ref="L259:L322" si="19">IF(ISNUMBER(K259),IF(K259&lt;=75,"Low",IF(K259&lt;=200,"Medium","High")),"Untested")</f>
        <v>Untested</v>
      </c>
    </row>
    <row r="260" spans="1:12" x14ac:dyDescent="0.2">
      <c r="A260" s="3" t="s">
        <v>271</v>
      </c>
      <c r="B260" s="3" t="s">
        <v>386</v>
      </c>
      <c r="C260" s="3" t="s">
        <v>384</v>
      </c>
      <c r="D260" s="4">
        <v>42430</v>
      </c>
      <c r="E260" s="3">
        <v>15</v>
      </c>
      <c r="F260" s="3">
        <v>0</v>
      </c>
      <c r="G260" s="9">
        <v>0</v>
      </c>
      <c r="H260" s="9">
        <v>13.25</v>
      </c>
      <c r="I260" s="22">
        <f t="shared" si="16"/>
        <v>0.8833333333333333</v>
      </c>
      <c r="J260" s="22" t="str">
        <f t="shared" si="17"/>
        <v>Medium</v>
      </c>
      <c r="K260" s="24" t="str">
        <f t="shared" si="18"/>
        <v/>
      </c>
      <c r="L260" s="27" t="str">
        <f t="shared" si="19"/>
        <v>Untested</v>
      </c>
    </row>
    <row r="261" spans="1:12" x14ac:dyDescent="0.2">
      <c r="A261" s="3" t="s">
        <v>304</v>
      </c>
      <c r="B261" s="3" t="s">
        <v>237</v>
      </c>
      <c r="C261" s="3" t="s">
        <v>313</v>
      </c>
      <c r="D261" s="4">
        <v>42370</v>
      </c>
      <c r="E261" s="3">
        <v>4</v>
      </c>
      <c r="F261" s="3">
        <v>0</v>
      </c>
      <c r="G261" s="9">
        <v>0</v>
      </c>
      <c r="H261" s="9">
        <v>1.58</v>
      </c>
      <c r="I261" s="22">
        <f t="shared" si="16"/>
        <v>0.39500000000000002</v>
      </c>
      <c r="J261" s="22" t="str">
        <f t="shared" si="17"/>
        <v>Low</v>
      </c>
      <c r="K261" s="24" t="str">
        <f t="shared" si="18"/>
        <v/>
      </c>
      <c r="L261" s="27" t="str">
        <f t="shared" si="19"/>
        <v>Untested</v>
      </c>
    </row>
    <row r="262" spans="1:12" x14ac:dyDescent="0.2">
      <c r="A262" s="3" t="s">
        <v>305</v>
      </c>
      <c r="B262" s="3" t="s">
        <v>237</v>
      </c>
      <c r="C262" s="3" t="s">
        <v>313</v>
      </c>
      <c r="D262" s="4">
        <v>42430</v>
      </c>
      <c r="E262" s="3">
        <v>139</v>
      </c>
      <c r="F262" s="3">
        <v>0</v>
      </c>
      <c r="G262" s="9">
        <v>0</v>
      </c>
      <c r="H262" s="9">
        <v>50.34</v>
      </c>
      <c r="I262" s="22">
        <f t="shared" si="16"/>
        <v>0.36215827338129497</v>
      </c>
      <c r="J262" s="22" t="str">
        <f t="shared" si="17"/>
        <v>Low</v>
      </c>
      <c r="K262" s="24" t="str">
        <f t="shared" si="18"/>
        <v/>
      </c>
      <c r="L262" s="27" t="str">
        <f t="shared" si="19"/>
        <v>Untested</v>
      </c>
    </row>
    <row r="263" spans="1:12" x14ac:dyDescent="0.2">
      <c r="A263" s="3" t="s">
        <v>277</v>
      </c>
      <c r="B263" s="3" t="s">
        <v>22</v>
      </c>
      <c r="C263" s="3" t="s">
        <v>340</v>
      </c>
      <c r="D263" s="4">
        <v>42430</v>
      </c>
      <c r="E263" s="3">
        <v>13</v>
      </c>
      <c r="F263" s="3">
        <v>0</v>
      </c>
      <c r="G263" s="9">
        <v>0</v>
      </c>
      <c r="H263" s="9">
        <v>2.27</v>
      </c>
      <c r="I263" s="22">
        <f t="shared" si="16"/>
        <v>0.17461538461538462</v>
      </c>
      <c r="J263" s="22" t="str">
        <f t="shared" si="17"/>
        <v>Low</v>
      </c>
      <c r="K263" s="24" t="str">
        <f t="shared" si="18"/>
        <v/>
      </c>
      <c r="L263" s="27" t="str">
        <f t="shared" si="19"/>
        <v>Untested</v>
      </c>
    </row>
    <row r="264" spans="1:12" x14ac:dyDescent="0.2">
      <c r="A264" s="3" t="s">
        <v>310</v>
      </c>
      <c r="B264" s="3" t="s">
        <v>22</v>
      </c>
      <c r="C264" s="3" t="s">
        <v>313</v>
      </c>
      <c r="D264" s="4">
        <v>42430</v>
      </c>
      <c r="E264" s="3">
        <v>51</v>
      </c>
      <c r="F264" s="3">
        <v>0</v>
      </c>
      <c r="G264" s="9">
        <v>0</v>
      </c>
      <c r="H264" s="9">
        <v>73.72</v>
      </c>
      <c r="I264" s="22">
        <f t="shared" si="16"/>
        <v>1.4454901960784314</v>
      </c>
      <c r="J264" s="22" t="str">
        <f t="shared" si="17"/>
        <v>Medium</v>
      </c>
      <c r="K264" s="24" t="str">
        <f t="shared" si="18"/>
        <v/>
      </c>
      <c r="L264" s="27" t="str">
        <f t="shared" si="19"/>
        <v>Untested</v>
      </c>
    </row>
    <row r="265" spans="1:12" x14ac:dyDescent="0.2">
      <c r="A265" s="3" t="s">
        <v>370</v>
      </c>
      <c r="B265" s="3" t="s">
        <v>22</v>
      </c>
      <c r="C265" s="3" t="s">
        <v>383</v>
      </c>
      <c r="D265" s="4">
        <v>42401</v>
      </c>
      <c r="E265" s="3">
        <v>110</v>
      </c>
      <c r="F265" s="3">
        <v>0</v>
      </c>
      <c r="G265" s="9">
        <v>0</v>
      </c>
      <c r="H265" s="9">
        <v>123.16</v>
      </c>
      <c r="I265" s="22">
        <f t="shared" si="16"/>
        <v>1.1196363636363635</v>
      </c>
      <c r="J265" s="22" t="str">
        <f t="shared" si="17"/>
        <v>Medium</v>
      </c>
      <c r="K265" s="24" t="str">
        <f t="shared" si="18"/>
        <v/>
      </c>
      <c r="L265" s="27" t="str">
        <f t="shared" si="19"/>
        <v>Untested</v>
      </c>
    </row>
    <row r="266" spans="1:12" x14ac:dyDescent="0.2">
      <c r="A266" s="3" t="s">
        <v>259</v>
      </c>
      <c r="B266" s="3" t="s">
        <v>386</v>
      </c>
      <c r="C266" s="3" t="s">
        <v>384</v>
      </c>
      <c r="D266" s="4">
        <v>42370</v>
      </c>
      <c r="E266" s="3">
        <v>0</v>
      </c>
      <c r="F266" s="3">
        <v>0</v>
      </c>
      <c r="G266" s="9">
        <v>0</v>
      </c>
      <c r="H266" s="9">
        <v>3.68</v>
      </c>
      <c r="I266" s="22" t="str">
        <f t="shared" si="16"/>
        <v/>
      </c>
      <c r="J266" s="22" t="str">
        <f t="shared" si="17"/>
        <v>Untested</v>
      </c>
      <c r="K266" s="24" t="str">
        <f t="shared" si="18"/>
        <v/>
      </c>
      <c r="L266" s="27" t="str">
        <f t="shared" si="19"/>
        <v>Untested</v>
      </c>
    </row>
    <row r="267" spans="1:12" x14ac:dyDescent="0.2">
      <c r="A267" s="3" t="s">
        <v>280</v>
      </c>
      <c r="B267" s="3" t="s">
        <v>386</v>
      </c>
      <c r="C267" s="3" t="s">
        <v>384</v>
      </c>
      <c r="D267" s="4">
        <v>42401</v>
      </c>
      <c r="E267" s="3">
        <v>21</v>
      </c>
      <c r="F267" s="3">
        <v>0</v>
      </c>
      <c r="G267" s="9">
        <v>0</v>
      </c>
      <c r="H267" s="9">
        <v>5.64</v>
      </c>
      <c r="I267" s="22">
        <f t="shared" si="16"/>
        <v>0.26857142857142857</v>
      </c>
      <c r="J267" s="22" t="str">
        <f t="shared" si="17"/>
        <v>Low</v>
      </c>
      <c r="K267" s="24" t="str">
        <f t="shared" si="18"/>
        <v/>
      </c>
      <c r="L267" s="27" t="str">
        <f t="shared" si="19"/>
        <v>Untested</v>
      </c>
    </row>
    <row r="268" spans="1:12" x14ac:dyDescent="0.2">
      <c r="A268" s="3" t="s">
        <v>279</v>
      </c>
      <c r="B268" s="3" t="s">
        <v>386</v>
      </c>
      <c r="C268" s="3" t="s">
        <v>384</v>
      </c>
      <c r="D268" s="4">
        <v>42370</v>
      </c>
      <c r="E268" s="3">
        <v>3</v>
      </c>
      <c r="F268" s="3">
        <v>0</v>
      </c>
      <c r="G268" s="9">
        <v>0</v>
      </c>
      <c r="H268" s="9">
        <v>10.28</v>
      </c>
      <c r="I268" s="22">
        <f t="shared" si="16"/>
        <v>3.4266666666666663</v>
      </c>
      <c r="J268" s="22" t="str">
        <f t="shared" si="17"/>
        <v>High</v>
      </c>
      <c r="K268" s="24" t="str">
        <f t="shared" si="18"/>
        <v/>
      </c>
      <c r="L268" s="27" t="str">
        <f t="shared" si="19"/>
        <v>Untested</v>
      </c>
    </row>
    <row r="269" spans="1:12" x14ac:dyDescent="0.2">
      <c r="A269" s="3" t="s">
        <v>314</v>
      </c>
      <c r="B269" s="3" t="s">
        <v>386</v>
      </c>
      <c r="C269" s="3" t="s">
        <v>384</v>
      </c>
      <c r="D269" s="4">
        <v>42430</v>
      </c>
      <c r="E269" s="3">
        <v>19</v>
      </c>
      <c r="F269" s="3">
        <v>0</v>
      </c>
      <c r="G269" s="9">
        <v>0</v>
      </c>
      <c r="H269" s="9">
        <v>39.049999999999997</v>
      </c>
      <c r="I269" s="22">
        <f t="shared" si="16"/>
        <v>2.0552631578947369</v>
      </c>
      <c r="J269" s="22" t="str">
        <f t="shared" si="17"/>
        <v>High</v>
      </c>
      <c r="K269" s="24" t="str">
        <f t="shared" si="18"/>
        <v/>
      </c>
      <c r="L269" s="27" t="str">
        <f t="shared" si="19"/>
        <v>Untested</v>
      </c>
    </row>
    <row r="270" spans="1:12" x14ac:dyDescent="0.2">
      <c r="A270" s="3" t="s">
        <v>355</v>
      </c>
      <c r="B270" s="3" t="s">
        <v>22</v>
      </c>
      <c r="C270" s="3" t="s">
        <v>383</v>
      </c>
      <c r="D270" s="4">
        <v>42401</v>
      </c>
      <c r="E270" s="3">
        <v>17</v>
      </c>
      <c r="F270" s="3">
        <v>0</v>
      </c>
      <c r="G270" s="9">
        <v>0</v>
      </c>
      <c r="H270" s="9">
        <v>1.9</v>
      </c>
      <c r="I270" s="22">
        <f t="shared" si="16"/>
        <v>0.11176470588235293</v>
      </c>
      <c r="J270" s="22" t="str">
        <f t="shared" si="17"/>
        <v>Low</v>
      </c>
      <c r="K270" s="24" t="str">
        <f t="shared" si="18"/>
        <v/>
      </c>
      <c r="L270" s="27" t="str">
        <f t="shared" si="19"/>
        <v>Untested</v>
      </c>
    </row>
    <row r="271" spans="1:12" x14ac:dyDescent="0.2">
      <c r="A271" s="3" t="s">
        <v>358</v>
      </c>
      <c r="B271" s="3" t="s">
        <v>22</v>
      </c>
      <c r="C271" s="3" t="s">
        <v>383</v>
      </c>
      <c r="D271" s="4">
        <v>42430</v>
      </c>
      <c r="E271" s="3">
        <v>8</v>
      </c>
      <c r="F271" s="3">
        <v>0</v>
      </c>
      <c r="G271" s="9">
        <v>0</v>
      </c>
      <c r="H271" s="9">
        <v>1.53</v>
      </c>
      <c r="I271" s="22">
        <f t="shared" si="16"/>
        <v>0.19125</v>
      </c>
      <c r="J271" s="22" t="str">
        <f t="shared" si="17"/>
        <v>Low</v>
      </c>
      <c r="K271" s="24" t="str">
        <f t="shared" si="18"/>
        <v/>
      </c>
      <c r="L271" s="27" t="str">
        <f t="shared" si="19"/>
        <v>Untested</v>
      </c>
    </row>
    <row r="272" spans="1:12" x14ac:dyDescent="0.2">
      <c r="A272" s="3" t="s">
        <v>357</v>
      </c>
      <c r="B272" s="3" t="s">
        <v>386</v>
      </c>
      <c r="C272" s="3" t="s">
        <v>383</v>
      </c>
      <c r="D272" s="4">
        <v>42430</v>
      </c>
      <c r="E272" s="3">
        <v>44</v>
      </c>
      <c r="F272" s="3">
        <v>0</v>
      </c>
      <c r="G272" s="9">
        <v>0</v>
      </c>
      <c r="H272" s="9">
        <v>18.03</v>
      </c>
      <c r="I272" s="22">
        <f t="shared" si="16"/>
        <v>0.40977272727272729</v>
      </c>
      <c r="J272" s="22" t="str">
        <f t="shared" si="17"/>
        <v>Low</v>
      </c>
      <c r="K272" s="24" t="str">
        <f t="shared" si="18"/>
        <v/>
      </c>
      <c r="L272" s="27" t="str">
        <f t="shared" si="19"/>
        <v>Untested</v>
      </c>
    </row>
    <row r="273" spans="1:12" x14ac:dyDescent="0.2">
      <c r="A273" s="3" t="s">
        <v>285</v>
      </c>
      <c r="B273" s="3" t="s">
        <v>22</v>
      </c>
      <c r="C273" s="3" t="s">
        <v>383</v>
      </c>
      <c r="D273" s="4">
        <v>42370</v>
      </c>
      <c r="E273" s="3">
        <v>93</v>
      </c>
      <c r="F273" s="3">
        <v>0</v>
      </c>
      <c r="G273" s="9">
        <v>0</v>
      </c>
      <c r="H273" s="9">
        <v>27.55</v>
      </c>
      <c r="I273" s="22">
        <f t="shared" si="16"/>
        <v>0.29623655913978497</v>
      </c>
      <c r="J273" s="22" t="str">
        <f t="shared" si="17"/>
        <v>Low</v>
      </c>
      <c r="K273" s="24" t="str">
        <f t="shared" si="18"/>
        <v/>
      </c>
      <c r="L273" s="27" t="str">
        <f t="shared" si="19"/>
        <v>Untested</v>
      </c>
    </row>
    <row r="274" spans="1:12" x14ac:dyDescent="0.2">
      <c r="A274" s="3" t="s">
        <v>327</v>
      </c>
      <c r="B274" s="3" t="s">
        <v>22</v>
      </c>
      <c r="C274" s="3" t="s">
        <v>383</v>
      </c>
      <c r="D274" s="4">
        <v>42401</v>
      </c>
      <c r="E274" s="3">
        <v>7</v>
      </c>
      <c r="F274" s="3">
        <v>0</v>
      </c>
      <c r="G274" s="9">
        <v>0</v>
      </c>
      <c r="H274" s="9">
        <v>18.5</v>
      </c>
      <c r="I274" s="22">
        <f t="shared" si="16"/>
        <v>2.6428571428571428</v>
      </c>
      <c r="J274" s="22" t="str">
        <f t="shared" si="17"/>
        <v>High</v>
      </c>
      <c r="K274" s="24" t="str">
        <f t="shared" si="18"/>
        <v/>
      </c>
      <c r="L274" s="27" t="str">
        <f t="shared" si="19"/>
        <v>Untested</v>
      </c>
    </row>
    <row r="275" spans="1:12" x14ac:dyDescent="0.2">
      <c r="A275" s="3" t="s">
        <v>309</v>
      </c>
      <c r="B275" s="3" t="s">
        <v>386</v>
      </c>
      <c r="C275" s="3" t="s">
        <v>313</v>
      </c>
      <c r="D275" s="4">
        <v>42370</v>
      </c>
      <c r="E275" s="3">
        <v>36</v>
      </c>
      <c r="F275" s="3">
        <v>0</v>
      </c>
      <c r="G275" s="9">
        <v>0</v>
      </c>
      <c r="H275" s="9">
        <v>53.66</v>
      </c>
      <c r="I275" s="22">
        <f t="shared" si="16"/>
        <v>1.4905555555555554</v>
      </c>
      <c r="J275" s="22" t="str">
        <f t="shared" si="17"/>
        <v>Medium</v>
      </c>
      <c r="K275" s="24" t="str">
        <f t="shared" si="18"/>
        <v/>
      </c>
      <c r="L275" s="27" t="str">
        <f t="shared" si="19"/>
        <v>Untested</v>
      </c>
    </row>
    <row r="276" spans="1:12" x14ac:dyDescent="0.2">
      <c r="A276" s="3" t="s">
        <v>354</v>
      </c>
      <c r="B276" s="3" t="s">
        <v>386</v>
      </c>
      <c r="C276" s="3" t="s">
        <v>384</v>
      </c>
      <c r="D276" s="4">
        <v>42370</v>
      </c>
      <c r="E276" s="3">
        <v>3</v>
      </c>
      <c r="F276" s="3">
        <v>0</v>
      </c>
      <c r="G276" s="9">
        <v>0</v>
      </c>
      <c r="H276" s="9">
        <v>4.25</v>
      </c>
      <c r="I276" s="22">
        <f t="shared" si="16"/>
        <v>1.4166666666666667</v>
      </c>
      <c r="J276" s="22" t="str">
        <f t="shared" si="17"/>
        <v>Medium</v>
      </c>
      <c r="K276" s="24" t="str">
        <f t="shared" si="18"/>
        <v/>
      </c>
      <c r="L276" s="27" t="str">
        <f t="shared" si="19"/>
        <v>Untested</v>
      </c>
    </row>
    <row r="277" spans="1:12" x14ac:dyDescent="0.2">
      <c r="A277" s="3" t="s">
        <v>353</v>
      </c>
      <c r="B277" s="3" t="s">
        <v>237</v>
      </c>
      <c r="C277" s="3" t="s">
        <v>313</v>
      </c>
      <c r="D277" s="4">
        <v>42370</v>
      </c>
      <c r="E277" s="3">
        <v>8</v>
      </c>
      <c r="F277" s="3">
        <v>0</v>
      </c>
      <c r="G277" s="9">
        <v>0</v>
      </c>
      <c r="H277" s="9">
        <v>6.08</v>
      </c>
      <c r="I277" s="22">
        <f t="shared" si="16"/>
        <v>0.76</v>
      </c>
      <c r="J277" s="22" t="str">
        <f t="shared" si="17"/>
        <v>Medium</v>
      </c>
      <c r="K277" s="24" t="str">
        <f t="shared" si="18"/>
        <v/>
      </c>
      <c r="L277" s="27" t="str">
        <f t="shared" si="19"/>
        <v>Untested</v>
      </c>
    </row>
    <row r="278" spans="1:12" x14ac:dyDescent="0.2">
      <c r="A278" s="3" t="s">
        <v>308</v>
      </c>
      <c r="B278" s="3" t="s">
        <v>237</v>
      </c>
      <c r="C278" s="3" t="s">
        <v>313</v>
      </c>
      <c r="D278" s="4">
        <v>42370</v>
      </c>
      <c r="E278" s="3">
        <v>24</v>
      </c>
      <c r="F278" s="3">
        <v>0</v>
      </c>
      <c r="G278" s="9">
        <v>0</v>
      </c>
      <c r="H278" s="9">
        <v>40.4</v>
      </c>
      <c r="I278" s="22">
        <f t="shared" si="16"/>
        <v>1.6833333333333333</v>
      </c>
      <c r="J278" s="22" t="str">
        <f t="shared" si="17"/>
        <v>High</v>
      </c>
      <c r="K278" s="24" t="str">
        <f t="shared" si="18"/>
        <v/>
      </c>
      <c r="L278" s="27" t="str">
        <f t="shared" si="19"/>
        <v>Untested</v>
      </c>
    </row>
    <row r="279" spans="1:12" x14ac:dyDescent="0.2">
      <c r="A279" s="3" t="s">
        <v>322</v>
      </c>
      <c r="B279" s="3" t="s">
        <v>237</v>
      </c>
      <c r="C279" s="3" t="s">
        <v>313</v>
      </c>
      <c r="D279" s="4">
        <v>42370</v>
      </c>
      <c r="E279" s="3">
        <v>23</v>
      </c>
      <c r="F279" s="3">
        <v>0</v>
      </c>
      <c r="G279" s="9">
        <v>0</v>
      </c>
      <c r="H279" s="9">
        <v>17.760000000000002</v>
      </c>
      <c r="I279" s="22">
        <f t="shared" si="16"/>
        <v>0.77217391304347838</v>
      </c>
      <c r="J279" s="22" t="str">
        <f t="shared" si="17"/>
        <v>Medium</v>
      </c>
      <c r="K279" s="24" t="str">
        <f t="shared" si="18"/>
        <v/>
      </c>
      <c r="L279" s="27" t="str">
        <f t="shared" si="19"/>
        <v>Untested</v>
      </c>
    </row>
    <row r="280" spans="1:12" x14ac:dyDescent="0.2">
      <c r="A280" s="3" t="s">
        <v>292</v>
      </c>
      <c r="B280" s="3" t="s">
        <v>237</v>
      </c>
      <c r="C280" s="3" t="s">
        <v>313</v>
      </c>
      <c r="D280" s="4">
        <v>42401</v>
      </c>
      <c r="E280" s="3">
        <v>12</v>
      </c>
      <c r="F280" s="3">
        <v>0</v>
      </c>
      <c r="G280" s="9">
        <v>0</v>
      </c>
      <c r="H280" s="9">
        <v>12.76</v>
      </c>
      <c r="I280" s="22">
        <f t="shared" si="16"/>
        <v>1.0633333333333332</v>
      </c>
      <c r="J280" s="22" t="str">
        <f t="shared" si="17"/>
        <v>Medium</v>
      </c>
      <c r="K280" s="24" t="str">
        <f t="shared" si="18"/>
        <v/>
      </c>
      <c r="L280" s="27" t="str">
        <f t="shared" si="19"/>
        <v>Untested</v>
      </c>
    </row>
    <row r="281" spans="1:12" x14ac:dyDescent="0.2">
      <c r="A281" s="3" t="s">
        <v>34</v>
      </c>
      <c r="B281" s="3" t="s">
        <v>237</v>
      </c>
      <c r="C281" s="3" t="s">
        <v>313</v>
      </c>
      <c r="D281" s="4">
        <v>42370</v>
      </c>
      <c r="E281" s="3">
        <v>129</v>
      </c>
      <c r="F281" s="3">
        <v>0</v>
      </c>
      <c r="G281" s="9">
        <v>0</v>
      </c>
      <c r="H281" s="9">
        <v>246.62</v>
      </c>
      <c r="I281" s="22">
        <f t="shared" si="16"/>
        <v>1.9117829457364341</v>
      </c>
      <c r="J281" s="22" t="str">
        <f t="shared" si="17"/>
        <v>High</v>
      </c>
      <c r="K281" s="24" t="str">
        <f t="shared" si="18"/>
        <v/>
      </c>
      <c r="L281" s="27" t="str">
        <f t="shared" si="19"/>
        <v>Untested</v>
      </c>
    </row>
    <row r="282" spans="1:12" x14ac:dyDescent="0.2">
      <c r="A282" s="3" t="s">
        <v>334</v>
      </c>
      <c r="B282" s="3" t="s">
        <v>237</v>
      </c>
      <c r="C282" s="3" t="s">
        <v>313</v>
      </c>
      <c r="D282" s="4">
        <v>42430</v>
      </c>
      <c r="E282" s="3">
        <v>6</v>
      </c>
      <c r="F282" s="3">
        <v>0</v>
      </c>
      <c r="G282" s="9">
        <v>0</v>
      </c>
      <c r="H282" s="9">
        <v>9.3699999999999992</v>
      </c>
      <c r="I282" s="22">
        <f t="shared" si="16"/>
        <v>1.5616666666666665</v>
      </c>
      <c r="J282" s="22" t="str">
        <f t="shared" si="17"/>
        <v>High</v>
      </c>
      <c r="K282" s="24" t="str">
        <f t="shared" si="18"/>
        <v/>
      </c>
      <c r="L282" s="27" t="str">
        <f t="shared" si="19"/>
        <v>Untested</v>
      </c>
    </row>
    <row r="283" spans="1:12" x14ac:dyDescent="0.2">
      <c r="A283" s="3" t="s">
        <v>339</v>
      </c>
      <c r="B283" s="3" t="s">
        <v>22</v>
      </c>
      <c r="C283" s="3" t="s">
        <v>383</v>
      </c>
      <c r="D283" s="4">
        <v>42370</v>
      </c>
      <c r="E283" s="3">
        <v>37</v>
      </c>
      <c r="F283" s="3">
        <v>0</v>
      </c>
      <c r="G283" s="9">
        <v>0</v>
      </c>
      <c r="H283" s="9">
        <v>42.4</v>
      </c>
      <c r="I283" s="22">
        <f t="shared" si="16"/>
        <v>1.145945945945946</v>
      </c>
      <c r="J283" s="22" t="str">
        <f t="shared" si="17"/>
        <v>Medium</v>
      </c>
      <c r="K283" s="24" t="str">
        <f t="shared" si="18"/>
        <v/>
      </c>
      <c r="L283" s="27" t="str">
        <f t="shared" si="19"/>
        <v>Untested</v>
      </c>
    </row>
    <row r="284" spans="1:12" x14ac:dyDescent="0.2">
      <c r="A284" s="3" t="s">
        <v>377</v>
      </c>
      <c r="B284" s="3" t="s">
        <v>386</v>
      </c>
      <c r="C284" s="3" t="s">
        <v>313</v>
      </c>
      <c r="D284" s="4">
        <v>42430</v>
      </c>
      <c r="E284" s="3">
        <v>41</v>
      </c>
      <c r="F284" s="3">
        <v>0</v>
      </c>
      <c r="G284" s="9">
        <v>0</v>
      </c>
      <c r="H284" s="9">
        <v>44.58</v>
      </c>
      <c r="I284" s="22">
        <f t="shared" si="16"/>
        <v>1.0873170731707316</v>
      </c>
      <c r="J284" s="22" t="str">
        <f t="shared" si="17"/>
        <v>Medium</v>
      </c>
      <c r="K284" s="24" t="str">
        <f t="shared" si="18"/>
        <v/>
      </c>
      <c r="L284" s="27" t="str">
        <f t="shared" si="19"/>
        <v>Untested</v>
      </c>
    </row>
    <row r="285" spans="1:12" x14ac:dyDescent="0.2">
      <c r="A285" s="3" t="s">
        <v>210</v>
      </c>
      <c r="B285" s="3" t="s">
        <v>22</v>
      </c>
      <c r="C285" s="3" t="s">
        <v>313</v>
      </c>
      <c r="D285" s="4">
        <v>42370</v>
      </c>
      <c r="E285" s="3">
        <v>107</v>
      </c>
      <c r="F285" s="3">
        <v>0</v>
      </c>
      <c r="G285" s="9">
        <v>0</v>
      </c>
      <c r="H285" s="9">
        <v>90.91</v>
      </c>
      <c r="I285" s="22">
        <f t="shared" si="16"/>
        <v>0.84962616822429904</v>
      </c>
      <c r="J285" s="22" t="str">
        <f t="shared" si="17"/>
        <v>Medium</v>
      </c>
      <c r="K285" s="24" t="str">
        <f t="shared" si="18"/>
        <v/>
      </c>
      <c r="L285" s="27" t="str">
        <f t="shared" si="19"/>
        <v>Untested</v>
      </c>
    </row>
    <row r="286" spans="1:12" x14ac:dyDescent="0.2">
      <c r="A286" s="3" t="s">
        <v>329</v>
      </c>
      <c r="B286" s="3" t="s">
        <v>22</v>
      </c>
      <c r="C286" s="3" t="s">
        <v>383</v>
      </c>
      <c r="D286" s="4">
        <v>42430</v>
      </c>
      <c r="E286" s="3">
        <v>39</v>
      </c>
      <c r="F286" s="3">
        <v>0</v>
      </c>
      <c r="G286" s="9">
        <v>0</v>
      </c>
      <c r="H286" s="9">
        <v>100.64</v>
      </c>
      <c r="I286" s="22">
        <f t="shared" si="16"/>
        <v>2.5805128205128205</v>
      </c>
      <c r="J286" s="22" t="str">
        <f t="shared" si="17"/>
        <v>High</v>
      </c>
      <c r="K286" s="24" t="str">
        <f t="shared" si="18"/>
        <v/>
      </c>
      <c r="L286" s="27" t="str">
        <f t="shared" si="19"/>
        <v>Untested</v>
      </c>
    </row>
    <row r="287" spans="1:12" x14ac:dyDescent="0.2">
      <c r="A287" s="3" t="s">
        <v>312</v>
      </c>
      <c r="B287" s="3" t="s">
        <v>22</v>
      </c>
      <c r="C287" s="3" t="s">
        <v>313</v>
      </c>
      <c r="D287" s="4">
        <v>42370</v>
      </c>
      <c r="E287" s="3">
        <v>55</v>
      </c>
      <c r="F287" s="3">
        <v>0</v>
      </c>
      <c r="G287" s="9">
        <v>0</v>
      </c>
      <c r="H287" s="9">
        <v>100.43</v>
      </c>
      <c r="I287" s="22">
        <f t="shared" si="16"/>
        <v>1.8260000000000001</v>
      </c>
      <c r="J287" s="22" t="str">
        <f t="shared" si="17"/>
        <v>High</v>
      </c>
      <c r="K287" s="24" t="str">
        <f t="shared" si="18"/>
        <v/>
      </c>
      <c r="L287" s="27" t="str">
        <f t="shared" si="19"/>
        <v>Untested</v>
      </c>
    </row>
    <row r="288" spans="1:12" x14ac:dyDescent="0.2">
      <c r="A288" s="3" t="s">
        <v>262</v>
      </c>
      <c r="B288" s="3" t="s">
        <v>388</v>
      </c>
      <c r="C288" s="3" t="s">
        <v>384</v>
      </c>
      <c r="D288" s="4">
        <v>42430</v>
      </c>
      <c r="E288" s="3">
        <v>32</v>
      </c>
      <c r="F288" s="3">
        <v>0</v>
      </c>
      <c r="G288" s="9">
        <v>0</v>
      </c>
      <c r="H288" s="9">
        <v>16.14</v>
      </c>
      <c r="I288" s="22">
        <f t="shared" si="16"/>
        <v>0.50437500000000002</v>
      </c>
      <c r="J288" s="22" t="str">
        <f t="shared" si="17"/>
        <v>Medium</v>
      </c>
      <c r="K288" s="24" t="str">
        <f t="shared" si="18"/>
        <v/>
      </c>
      <c r="L288" s="27" t="str">
        <f t="shared" si="19"/>
        <v>Untested</v>
      </c>
    </row>
    <row r="289" spans="1:12" x14ac:dyDescent="0.2">
      <c r="A289" s="3" t="s">
        <v>229</v>
      </c>
      <c r="B289" s="3" t="s">
        <v>22</v>
      </c>
      <c r="C289" s="3" t="s">
        <v>313</v>
      </c>
      <c r="D289" s="4">
        <v>42401</v>
      </c>
      <c r="E289" s="3">
        <v>74</v>
      </c>
      <c r="F289" s="3">
        <v>0</v>
      </c>
      <c r="G289" s="9">
        <v>0</v>
      </c>
      <c r="H289" s="9">
        <v>58.31</v>
      </c>
      <c r="I289" s="22">
        <f t="shared" si="16"/>
        <v>0.78797297297297297</v>
      </c>
      <c r="J289" s="22" t="str">
        <f t="shared" si="17"/>
        <v>Medium</v>
      </c>
      <c r="K289" s="24" t="str">
        <f t="shared" si="18"/>
        <v/>
      </c>
      <c r="L289" s="27" t="str">
        <f t="shared" si="19"/>
        <v>Untested</v>
      </c>
    </row>
    <row r="290" spans="1:12" x14ac:dyDescent="0.2">
      <c r="A290" s="3" t="s">
        <v>344</v>
      </c>
      <c r="B290" s="3" t="s">
        <v>22</v>
      </c>
      <c r="C290" s="3" t="s">
        <v>383</v>
      </c>
      <c r="D290" s="4">
        <v>42430</v>
      </c>
      <c r="E290" s="3">
        <v>46</v>
      </c>
      <c r="F290" s="3">
        <v>0</v>
      </c>
      <c r="G290" s="9">
        <v>0</v>
      </c>
      <c r="H290" s="9">
        <v>53.02</v>
      </c>
      <c r="I290" s="22">
        <f t="shared" si="16"/>
        <v>1.1526086956521739</v>
      </c>
      <c r="J290" s="22" t="str">
        <f t="shared" si="17"/>
        <v>Medium</v>
      </c>
      <c r="K290" s="24" t="str">
        <f t="shared" si="18"/>
        <v/>
      </c>
      <c r="L290" s="27" t="str">
        <f t="shared" si="19"/>
        <v>Untested</v>
      </c>
    </row>
    <row r="291" spans="1:12" x14ac:dyDescent="0.2">
      <c r="A291" s="3" t="s">
        <v>297</v>
      </c>
      <c r="B291" s="3" t="s">
        <v>386</v>
      </c>
      <c r="C291" s="3" t="s">
        <v>313</v>
      </c>
      <c r="D291" s="4">
        <v>42430</v>
      </c>
      <c r="E291" s="3">
        <v>83</v>
      </c>
      <c r="F291" s="3">
        <v>0</v>
      </c>
      <c r="G291" s="9">
        <v>0</v>
      </c>
      <c r="H291" s="9">
        <v>60.2</v>
      </c>
      <c r="I291" s="22">
        <f t="shared" si="16"/>
        <v>0.72530120481927718</v>
      </c>
      <c r="J291" s="22" t="str">
        <f t="shared" si="17"/>
        <v>Medium</v>
      </c>
      <c r="K291" s="24" t="str">
        <f t="shared" si="18"/>
        <v/>
      </c>
      <c r="L291" s="27" t="str">
        <f t="shared" si="19"/>
        <v>Untested</v>
      </c>
    </row>
    <row r="292" spans="1:12" x14ac:dyDescent="0.2">
      <c r="A292" s="3" t="s">
        <v>26</v>
      </c>
      <c r="B292" s="3" t="s">
        <v>385</v>
      </c>
      <c r="C292" s="3" t="s">
        <v>383</v>
      </c>
      <c r="D292" s="4">
        <v>42370</v>
      </c>
      <c r="E292" s="3">
        <v>13</v>
      </c>
      <c r="F292" s="3">
        <v>0</v>
      </c>
      <c r="G292" s="9">
        <v>0</v>
      </c>
      <c r="H292" s="9">
        <v>26.21</v>
      </c>
      <c r="I292" s="22">
        <f t="shared" si="16"/>
        <v>2.0161538461538462</v>
      </c>
      <c r="J292" s="22" t="str">
        <f t="shared" si="17"/>
        <v>High</v>
      </c>
      <c r="K292" s="24" t="str">
        <f t="shared" si="18"/>
        <v/>
      </c>
      <c r="L292" s="27" t="str">
        <f t="shared" si="19"/>
        <v>Untested</v>
      </c>
    </row>
    <row r="293" spans="1:12" x14ac:dyDescent="0.2">
      <c r="A293" s="3" t="s">
        <v>321</v>
      </c>
      <c r="B293" s="3" t="s">
        <v>237</v>
      </c>
      <c r="C293" s="3" t="s">
        <v>313</v>
      </c>
      <c r="D293" s="4">
        <v>42401</v>
      </c>
      <c r="E293" s="3">
        <v>41</v>
      </c>
      <c r="F293" s="3">
        <v>0</v>
      </c>
      <c r="G293" s="9">
        <v>0</v>
      </c>
      <c r="H293" s="9">
        <v>54.97</v>
      </c>
      <c r="I293" s="22">
        <f t="shared" si="16"/>
        <v>1.3407317073170733</v>
      </c>
      <c r="J293" s="22" t="str">
        <f t="shared" si="17"/>
        <v>Medium</v>
      </c>
      <c r="K293" s="24" t="str">
        <f t="shared" si="18"/>
        <v/>
      </c>
      <c r="L293" s="27" t="str">
        <f t="shared" si="19"/>
        <v>Untested</v>
      </c>
    </row>
    <row r="294" spans="1:12" x14ac:dyDescent="0.2">
      <c r="A294" s="3" t="s">
        <v>252</v>
      </c>
      <c r="B294" s="3" t="s">
        <v>386</v>
      </c>
      <c r="C294" s="3" t="s">
        <v>313</v>
      </c>
      <c r="D294" s="4">
        <v>42401</v>
      </c>
      <c r="E294" s="3">
        <v>9</v>
      </c>
      <c r="F294" s="3">
        <v>0</v>
      </c>
      <c r="G294" s="9">
        <v>0</v>
      </c>
      <c r="H294" s="9">
        <v>27.26</v>
      </c>
      <c r="I294" s="22">
        <f t="shared" si="16"/>
        <v>3.028888888888889</v>
      </c>
      <c r="J294" s="22" t="str">
        <f t="shared" si="17"/>
        <v>High</v>
      </c>
      <c r="K294" s="24" t="str">
        <f t="shared" si="18"/>
        <v/>
      </c>
      <c r="L294" s="27" t="str">
        <f t="shared" si="19"/>
        <v>Untested</v>
      </c>
    </row>
    <row r="295" spans="1:12" x14ac:dyDescent="0.2">
      <c r="A295" s="3" t="s">
        <v>349</v>
      </c>
      <c r="B295" s="3" t="s">
        <v>386</v>
      </c>
      <c r="C295" s="3" t="s">
        <v>313</v>
      </c>
      <c r="D295" s="4">
        <v>42430</v>
      </c>
      <c r="E295" s="3">
        <v>20</v>
      </c>
      <c r="F295" s="3">
        <v>0</v>
      </c>
      <c r="G295" s="9">
        <v>0</v>
      </c>
      <c r="H295" s="9">
        <v>27.59</v>
      </c>
      <c r="I295" s="22">
        <f t="shared" si="16"/>
        <v>1.3794999999999999</v>
      </c>
      <c r="J295" s="22" t="str">
        <f t="shared" si="17"/>
        <v>Medium</v>
      </c>
      <c r="K295" s="24" t="str">
        <f t="shared" si="18"/>
        <v/>
      </c>
      <c r="L295" s="27" t="str">
        <f t="shared" si="19"/>
        <v>Untested</v>
      </c>
    </row>
    <row r="296" spans="1:12" x14ac:dyDescent="0.2">
      <c r="A296" s="3" t="s">
        <v>372</v>
      </c>
      <c r="B296" s="3" t="s">
        <v>237</v>
      </c>
      <c r="C296" s="3" t="s">
        <v>313</v>
      </c>
      <c r="D296" s="4">
        <v>42430</v>
      </c>
      <c r="E296" s="3">
        <v>3</v>
      </c>
      <c r="F296" s="3">
        <v>0</v>
      </c>
      <c r="G296" s="9">
        <v>0</v>
      </c>
      <c r="H296" s="9">
        <v>3.73</v>
      </c>
      <c r="I296" s="22">
        <f t="shared" si="16"/>
        <v>1.2433333333333334</v>
      </c>
      <c r="J296" s="22" t="str">
        <f t="shared" si="17"/>
        <v>Medium</v>
      </c>
      <c r="K296" s="24" t="str">
        <f t="shared" si="18"/>
        <v/>
      </c>
      <c r="L296" s="27" t="str">
        <f t="shared" si="19"/>
        <v>Untested</v>
      </c>
    </row>
    <row r="297" spans="1:12" x14ac:dyDescent="0.2">
      <c r="A297" s="3" t="s">
        <v>326</v>
      </c>
      <c r="B297" s="3" t="s">
        <v>237</v>
      </c>
      <c r="C297" s="3" t="s">
        <v>313</v>
      </c>
      <c r="D297" s="4">
        <v>42430</v>
      </c>
      <c r="E297" s="3">
        <v>13</v>
      </c>
      <c r="F297" s="3">
        <v>0</v>
      </c>
      <c r="G297" s="9">
        <v>0</v>
      </c>
      <c r="H297" s="9">
        <v>14.98</v>
      </c>
      <c r="I297" s="22">
        <f t="shared" si="16"/>
        <v>1.1523076923076923</v>
      </c>
      <c r="J297" s="22" t="str">
        <f t="shared" si="17"/>
        <v>Medium</v>
      </c>
      <c r="K297" s="24" t="str">
        <f t="shared" si="18"/>
        <v/>
      </c>
      <c r="L297" s="27" t="str">
        <f t="shared" si="19"/>
        <v>Untested</v>
      </c>
    </row>
    <row r="298" spans="1:12" x14ac:dyDescent="0.2">
      <c r="A298" s="3" t="s">
        <v>325</v>
      </c>
      <c r="B298" s="3" t="s">
        <v>237</v>
      </c>
      <c r="C298" s="3" t="s">
        <v>313</v>
      </c>
      <c r="D298" s="4">
        <v>42370</v>
      </c>
      <c r="E298" s="3">
        <v>7</v>
      </c>
      <c r="F298" s="3">
        <v>0</v>
      </c>
      <c r="G298" s="9">
        <v>0</v>
      </c>
      <c r="H298" s="9">
        <v>13.84</v>
      </c>
      <c r="I298" s="22">
        <f t="shared" si="16"/>
        <v>1.9771428571428571</v>
      </c>
      <c r="J298" s="22" t="str">
        <f t="shared" si="17"/>
        <v>High</v>
      </c>
      <c r="K298" s="24" t="str">
        <f t="shared" si="18"/>
        <v/>
      </c>
      <c r="L298" s="27" t="str">
        <f t="shared" si="19"/>
        <v>Untested</v>
      </c>
    </row>
    <row r="299" spans="1:12" x14ac:dyDescent="0.2">
      <c r="A299" s="3" t="s">
        <v>156</v>
      </c>
      <c r="B299" s="3" t="s">
        <v>237</v>
      </c>
      <c r="C299" s="3" t="s">
        <v>313</v>
      </c>
      <c r="D299" s="4">
        <v>42430</v>
      </c>
      <c r="E299" s="3">
        <v>7</v>
      </c>
      <c r="F299" s="3">
        <v>0</v>
      </c>
      <c r="G299" s="9">
        <v>0</v>
      </c>
      <c r="H299" s="9">
        <v>9.68</v>
      </c>
      <c r="I299" s="22">
        <f t="shared" si="16"/>
        <v>1.3828571428571428</v>
      </c>
      <c r="J299" s="22" t="str">
        <f t="shared" si="17"/>
        <v>Medium</v>
      </c>
      <c r="K299" s="24" t="str">
        <f t="shared" si="18"/>
        <v/>
      </c>
      <c r="L299" s="27" t="str">
        <f t="shared" si="19"/>
        <v>Untested</v>
      </c>
    </row>
    <row r="300" spans="1:12" x14ac:dyDescent="0.2">
      <c r="A300" s="3" t="s">
        <v>293</v>
      </c>
      <c r="B300" s="3" t="s">
        <v>237</v>
      </c>
      <c r="C300" s="3" t="s">
        <v>313</v>
      </c>
      <c r="D300" s="4">
        <v>42430</v>
      </c>
      <c r="E300" s="3">
        <v>107</v>
      </c>
      <c r="F300" s="3">
        <v>0</v>
      </c>
      <c r="G300" s="9">
        <v>0</v>
      </c>
      <c r="H300" s="9">
        <v>63.73</v>
      </c>
      <c r="I300" s="22">
        <f t="shared" si="16"/>
        <v>0.59560747663551394</v>
      </c>
      <c r="J300" s="22" t="str">
        <f t="shared" si="17"/>
        <v>Medium</v>
      </c>
      <c r="K300" s="24" t="str">
        <f t="shared" si="18"/>
        <v/>
      </c>
      <c r="L300" s="27" t="str">
        <f t="shared" si="19"/>
        <v>Untested</v>
      </c>
    </row>
    <row r="301" spans="1:12" x14ac:dyDescent="0.2">
      <c r="A301" s="3" t="s">
        <v>268</v>
      </c>
      <c r="B301" s="3" t="s">
        <v>237</v>
      </c>
      <c r="C301" s="3" t="s">
        <v>313</v>
      </c>
      <c r="D301" s="4">
        <v>42401</v>
      </c>
      <c r="E301" s="3">
        <v>12</v>
      </c>
      <c r="F301" s="3">
        <v>0</v>
      </c>
      <c r="G301" s="9">
        <v>0</v>
      </c>
      <c r="H301" s="9">
        <v>9.76</v>
      </c>
      <c r="I301" s="22">
        <f t="shared" si="16"/>
        <v>0.81333333333333335</v>
      </c>
      <c r="J301" s="22" t="str">
        <f t="shared" si="17"/>
        <v>Medium</v>
      </c>
      <c r="K301" s="24" t="str">
        <f t="shared" si="18"/>
        <v/>
      </c>
      <c r="L301" s="27" t="str">
        <f t="shared" si="19"/>
        <v>Untested</v>
      </c>
    </row>
    <row r="302" spans="1:12" x14ac:dyDescent="0.2">
      <c r="A302" s="3" t="s">
        <v>301</v>
      </c>
      <c r="B302" s="3" t="s">
        <v>237</v>
      </c>
      <c r="C302" s="3" t="s">
        <v>313</v>
      </c>
      <c r="D302" s="4">
        <v>42370</v>
      </c>
      <c r="E302" s="3">
        <v>26</v>
      </c>
      <c r="F302" s="3">
        <v>0</v>
      </c>
      <c r="G302" s="9">
        <v>0</v>
      </c>
      <c r="H302" s="9">
        <v>28.48</v>
      </c>
      <c r="I302" s="22">
        <f t="shared" si="16"/>
        <v>1.0953846153846154</v>
      </c>
      <c r="J302" s="22" t="str">
        <f t="shared" si="17"/>
        <v>Medium</v>
      </c>
      <c r="K302" s="24" t="str">
        <f t="shared" si="18"/>
        <v/>
      </c>
      <c r="L302" s="27" t="str">
        <f t="shared" si="19"/>
        <v>Untested</v>
      </c>
    </row>
    <row r="303" spans="1:12" x14ac:dyDescent="0.2">
      <c r="A303" s="3" t="s">
        <v>261</v>
      </c>
      <c r="B303" s="3" t="s">
        <v>237</v>
      </c>
      <c r="C303" s="3" t="s">
        <v>313</v>
      </c>
      <c r="D303" s="4">
        <v>42430</v>
      </c>
      <c r="E303" s="3">
        <v>3</v>
      </c>
      <c r="F303" s="3">
        <v>0</v>
      </c>
      <c r="G303" s="9">
        <v>0</v>
      </c>
      <c r="H303" s="9">
        <v>3.55</v>
      </c>
      <c r="I303" s="22">
        <f t="shared" si="16"/>
        <v>1.1833333333333333</v>
      </c>
      <c r="J303" s="22" t="str">
        <f t="shared" si="17"/>
        <v>Medium</v>
      </c>
      <c r="K303" s="24" t="str">
        <f t="shared" si="18"/>
        <v/>
      </c>
      <c r="L303" s="27" t="str">
        <f t="shared" si="19"/>
        <v>Untested</v>
      </c>
    </row>
    <row r="304" spans="1:12" x14ac:dyDescent="0.2">
      <c r="A304" s="3" t="s">
        <v>335</v>
      </c>
      <c r="B304" s="3" t="s">
        <v>237</v>
      </c>
      <c r="C304" s="3" t="s">
        <v>313</v>
      </c>
      <c r="D304" s="4">
        <v>42370</v>
      </c>
      <c r="E304" s="3">
        <v>45</v>
      </c>
      <c r="F304" s="3">
        <v>0</v>
      </c>
      <c r="G304" s="9">
        <v>0</v>
      </c>
      <c r="H304" s="9">
        <v>82.98</v>
      </c>
      <c r="I304" s="22">
        <f t="shared" si="16"/>
        <v>1.8440000000000001</v>
      </c>
      <c r="J304" s="22" t="str">
        <f t="shared" si="17"/>
        <v>High</v>
      </c>
      <c r="K304" s="24" t="str">
        <f t="shared" si="18"/>
        <v/>
      </c>
      <c r="L304" s="27" t="str">
        <f t="shared" si="19"/>
        <v>Untested</v>
      </c>
    </row>
    <row r="305" spans="1:12" x14ac:dyDescent="0.2">
      <c r="A305" s="3" t="s">
        <v>295</v>
      </c>
      <c r="B305" s="3" t="s">
        <v>237</v>
      </c>
      <c r="C305" s="3" t="s">
        <v>313</v>
      </c>
      <c r="D305" s="4">
        <v>42401</v>
      </c>
      <c r="E305" s="3">
        <v>91</v>
      </c>
      <c r="F305" s="3">
        <v>0</v>
      </c>
      <c r="G305" s="9">
        <v>0</v>
      </c>
      <c r="H305" s="9">
        <v>170.01</v>
      </c>
      <c r="I305" s="22">
        <f t="shared" si="16"/>
        <v>1.8682417582417581</v>
      </c>
      <c r="J305" s="22" t="str">
        <f t="shared" si="17"/>
        <v>High</v>
      </c>
      <c r="K305" s="24" t="str">
        <f t="shared" si="18"/>
        <v/>
      </c>
      <c r="L305" s="27" t="str">
        <f t="shared" si="19"/>
        <v>Untested</v>
      </c>
    </row>
    <row r="306" spans="1:12" x14ac:dyDescent="0.2">
      <c r="A306" s="3" t="s">
        <v>317</v>
      </c>
      <c r="B306" s="3" t="s">
        <v>386</v>
      </c>
      <c r="C306" s="3" t="s">
        <v>341</v>
      </c>
      <c r="D306" s="4">
        <v>42401</v>
      </c>
      <c r="E306" s="3">
        <v>4</v>
      </c>
      <c r="F306" s="3">
        <v>0</v>
      </c>
      <c r="G306" s="9">
        <v>0</v>
      </c>
      <c r="H306" s="9">
        <v>14.42</v>
      </c>
      <c r="I306" s="22">
        <f t="shared" si="16"/>
        <v>3.605</v>
      </c>
      <c r="J306" s="22" t="str">
        <f t="shared" si="17"/>
        <v>High</v>
      </c>
      <c r="K306" s="24" t="str">
        <f t="shared" si="18"/>
        <v/>
      </c>
      <c r="L306" s="27" t="str">
        <f t="shared" si="19"/>
        <v>Untested</v>
      </c>
    </row>
    <row r="307" spans="1:12" x14ac:dyDescent="0.2">
      <c r="A307" s="3" t="s">
        <v>290</v>
      </c>
      <c r="B307" s="3" t="s">
        <v>386</v>
      </c>
      <c r="C307" s="3" t="s">
        <v>384</v>
      </c>
      <c r="D307" s="4">
        <v>42401</v>
      </c>
      <c r="E307" s="3">
        <v>7</v>
      </c>
      <c r="F307" s="3">
        <v>0</v>
      </c>
      <c r="G307" s="9">
        <v>0</v>
      </c>
      <c r="H307" s="9">
        <v>8.8699999999999992</v>
      </c>
      <c r="I307" s="22">
        <f t="shared" si="16"/>
        <v>1.2671428571428571</v>
      </c>
      <c r="J307" s="22" t="str">
        <f t="shared" si="17"/>
        <v>Medium</v>
      </c>
      <c r="K307" s="24" t="str">
        <f t="shared" si="18"/>
        <v/>
      </c>
      <c r="L307" s="27" t="str">
        <f t="shared" si="19"/>
        <v>Untested</v>
      </c>
    </row>
    <row r="308" spans="1:12" x14ac:dyDescent="0.2">
      <c r="A308" s="3" t="s">
        <v>248</v>
      </c>
      <c r="B308" s="3" t="s">
        <v>386</v>
      </c>
      <c r="C308" s="3" t="s">
        <v>313</v>
      </c>
      <c r="D308" s="4">
        <v>42401</v>
      </c>
      <c r="E308" s="3">
        <v>29</v>
      </c>
      <c r="F308" s="3">
        <v>0</v>
      </c>
      <c r="G308" s="9">
        <v>0</v>
      </c>
      <c r="H308" s="9">
        <v>46.61</v>
      </c>
      <c r="I308" s="22">
        <f t="shared" si="16"/>
        <v>1.6072413793103448</v>
      </c>
      <c r="J308" s="22" t="str">
        <f t="shared" si="17"/>
        <v>High</v>
      </c>
      <c r="K308" s="24" t="str">
        <f t="shared" si="18"/>
        <v/>
      </c>
      <c r="L308" s="27" t="str">
        <f t="shared" si="19"/>
        <v>Untested</v>
      </c>
    </row>
    <row r="309" spans="1:12" x14ac:dyDescent="0.2">
      <c r="A309" s="3" t="s">
        <v>307</v>
      </c>
      <c r="B309" s="3" t="s">
        <v>386</v>
      </c>
      <c r="C309" s="3" t="s">
        <v>384</v>
      </c>
      <c r="D309" s="4">
        <v>42370</v>
      </c>
      <c r="E309" s="3">
        <v>10</v>
      </c>
      <c r="F309" s="3">
        <v>0</v>
      </c>
      <c r="G309" s="9">
        <v>0</v>
      </c>
      <c r="H309" s="9">
        <v>5.54</v>
      </c>
      <c r="I309" s="22">
        <f t="shared" si="16"/>
        <v>0.55400000000000005</v>
      </c>
      <c r="J309" s="22" t="str">
        <f t="shared" si="17"/>
        <v>Medium</v>
      </c>
      <c r="K309" s="24" t="str">
        <f t="shared" si="18"/>
        <v/>
      </c>
      <c r="L309" s="27" t="str">
        <f t="shared" si="19"/>
        <v>Untested</v>
      </c>
    </row>
    <row r="310" spans="1:12" x14ac:dyDescent="0.2">
      <c r="A310" s="3" t="s">
        <v>286</v>
      </c>
      <c r="B310" s="3" t="s">
        <v>386</v>
      </c>
      <c r="C310" s="3" t="s">
        <v>384</v>
      </c>
      <c r="D310" s="4">
        <v>42401</v>
      </c>
      <c r="E310" s="3">
        <v>23</v>
      </c>
      <c r="F310" s="3">
        <v>0</v>
      </c>
      <c r="G310" s="9">
        <v>0</v>
      </c>
      <c r="H310" s="9">
        <v>20.92</v>
      </c>
      <c r="I310" s="22">
        <f t="shared" si="16"/>
        <v>0.90956521739130447</v>
      </c>
      <c r="J310" s="22" t="str">
        <f t="shared" si="17"/>
        <v>Medium</v>
      </c>
      <c r="K310" s="24" t="str">
        <f t="shared" si="18"/>
        <v/>
      </c>
      <c r="L310" s="27" t="str">
        <f t="shared" si="19"/>
        <v>Untested</v>
      </c>
    </row>
    <row r="311" spans="1:12" x14ac:dyDescent="0.2">
      <c r="A311" s="3" t="s">
        <v>330</v>
      </c>
      <c r="B311" s="3" t="s">
        <v>386</v>
      </c>
      <c r="C311" s="3" t="s">
        <v>384</v>
      </c>
      <c r="D311" s="4">
        <v>42430</v>
      </c>
      <c r="E311" s="3">
        <v>8</v>
      </c>
      <c r="F311" s="3">
        <v>0</v>
      </c>
      <c r="G311" s="9">
        <v>0</v>
      </c>
      <c r="H311" s="9">
        <v>6.12</v>
      </c>
      <c r="I311" s="22">
        <f t="shared" si="16"/>
        <v>0.76500000000000001</v>
      </c>
      <c r="J311" s="22" t="str">
        <f t="shared" si="17"/>
        <v>Medium</v>
      </c>
      <c r="K311" s="24" t="str">
        <f t="shared" si="18"/>
        <v/>
      </c>
      <c r="L311" s="27" t="str">
        <f t="shared" si="19"/>
        <v>Untested</v>
      </c>
    </row>
    <row r="312" spans="1:12" x14ac:dyDescent="0.2">
      <c r="A312" s="3" t="s">
        <v>306</v>
      </c>
      <c r="B312" s="3" t="s">
        <v>386</v>
      </c>
      <c r="C312" s="3" t="s">
        <v>384</v>
      </c>
      <c r="D312" s="4">
        <v>42401</v>
      </c>
      <c r="E312" s="3">
        <v>37</v>
      </c>
      <c r="F312" s="3">
        <v>0</v>
      </c>
      <c r="G312" s="9">
        <v>0</v>
      </c>
      <c r="H312" s="9">
        <v>24.35</v>
      </c>
      <c r="I312" s="22">
        <f t="shared" si="16"/>
        <v>0.65810810810810816</v>
      </c>
      <c r="J312" s="22" t="str">
        <f t="shared" si="17"/>
        <v>Medium</v>
      </c>
      <c r="K312" s="24" t="str">
        <f t="shared" si="18"/>
        <v/>
      </c>
      <c r="L312" s="27" t="str">
        <f t="shared" si="19"/>
        <v>Untested</v>
      </c>
    </row>
    <row r="313" spans="1:12" x14ac:dyDescent="0.2">
      <c r="A313" s="3" t="s">
        <v>274</v>
      </c>
      <c r="B313" s="3" t="s">
        <v>386</v>
      </c>
      <c r="C313" s="3" t="s">
        <v>384</v>
      </c>
      <c r="D313" s="4">
        <v>42401</v>
      </c>
      <c r="E313" s="3">
        <v>7</v>
      </c>
      <c r="F313" s="3">
        <v>0</v>
      </c>
      <c r="G313" s="9">
        <v>0</v>
      </c>
      <c r="H313" s="9">
        <v>15.13</v>
      </c>
      <c r="I313" s="22">
        <f t="shared" si="16"/>
        <v>2.1614285714285715</v>
      </c>
      <c r="J313" s="22" t="str">
        <f t="shared" si="17"/>
        <v>High</v>
      </c>
      <c r="K313" s="24" t="str">
        <f t="shared" si="18"/>
        <v/>
      </c>
      <c r="L313" s="27" t="str">
        <f t="shared" si="19"/>
        <v>Untested</v>
      </c>
    </row>
    <row r="314" spans="1:12" x14ac:dyDescent="0.2">
      <c r="A314" s="3" t="s">
        <v>300</v>
      </c>
      <c r="B314" s="3" t="s">
        <v>386</v>
      </c>
      <c r="C314" s="3" t="s">
        <v>384</v>
      </c>
      <c r="D314" s="4">
        <v>42401</v>
      </c>
      <c r="E314" s="3">
        <v>7</v>
      </c>
      <c r="F314" s="3">
        <v>0</v>
      </c>
      <c r="G314" s="9">
        <v>0</v>
      </c>
      <c r="H314" s="9">
        <v>5.57</v>
      </c>
      <c r="I314" s="22">
        <f t="shared" si="16"/>
        <v>0.79571428571428571</v>
      </c>
      <c r="J314" s="22" t="str">
        <f t="shared" si="17"/>
        <v>Medium</v>
      </c>
      <c r="K314" s="24" t="str">
        <f t="shared" si="18"/>
        <v/>
      </c>
      <c r="L314" s="27" t="str">
        <f t="shared" si="19"/>
        <v>Untested</v>
      </c>
    </row>
    <row r="315" spans="1:12" x14ac:dyDescent="0.2">
      <c r="A315" s="3" t="s">
        <v>254</v>
      </c>
      <c r="B315" s="3" t="s">
        <v>22</v>
      </c>
      <c r="C315" s="3" t="s">
        <v>384</v>
      </c>
      <c r="D315" s="4">
        <v>42430</v>
      </c>
      <c r="E315" s="3">
        <v>7</v>
      </c>
      <c r="F315" s="3">
        <v>0</v>
      </c>
      <c r="G315" s="9">
        <v>0</v>
      </c>
      <c r="H315" s="9">
        <v>7.14</v>
      </c>
      <c r="I315" s="22">
        <f t="shared" si="16"/>
        <v>1.02</v>
      </c>
      <c r="J315" s="22" t="str">
        <f t="shared" si="17"/>
        <v>Medium</v>
      </c>
      <c r="K315" s="24" t="str">
        <f t="shared" si="18"/>
        <v/>
      </c>
      <c r="L315" s="27" t="str">
        <f t="shared" si="19"/>
        <v>Untested</v>
      </c>
    </row>
    <row r="316" spans="1:12" x14ac:dyDescent="0.2">
      <c r="A316" s="3" t="s">
        <v>331</v>
      </c>
      <c r="B316" s="3" t="s">
        <v>386</v>
      </c>
      <c r="C316" s="3" t="s">
        <v>384</v>
      </c>
      <c r="D316" s="4">
        <v>42370</v>
      </c>
      <c r="E316" s="3">
        <v>22</v>
      </c>
      <c r="F316" s="3">
        <v>0</v>
      </c>
      <c r="G316" s="9">
        <v>0</v>
      </c>
      <c r="H316" s="9">
        <v>27.94</v>
      </c>
      <c r="I316" s="22">
        <f t="shared" si="16"/>
        <v>1.27</v>
      </c>
      <c r="J316" s="22" t="str">
        <f t="shared" si="17"/>
        <v>Medium</v>
      </c>
      <c r="K316" s="24" t="str">
        <f t="shared" si="18"/>
        <v/>
      </c>
      <c r="L316" s="27" t="str">
        <f t="shared" si="19"/>
        <v>Untested</v>
      </c>
    </row>
    <row r="317" spans="1:12" x14ac:dyDescent="0.2">
      <c r="A317" s="3" t="s">
        <v>365</v>
      </c>
      <c r="B317" s="3" t="s">
        <v>237</v>
      </c>
      <c r="C317" s="3" t="s">
        <v>313</v>
      </c>
      <c r="D317" s="4">
        <v>42401</v>
      </c>
      <c r="E317" s="3">
        <v>23</v>
      </c>
      <c r="F317" s="3">
        <v>0</v>
      </c>
      <c r="G317" s="9">
        <v>0</v>
      </c>
      <c r="H317" s="9">
        <v>27.82</v>
      </c>
      <c r="I317" s="22">
        <f t="shared" si="16"/>
        <v>1.2095652173913043</v>
      </c>
      <c r="J317" s="22" t="str">
        <f t="shared" si="17"/>
        <v>Medium</v>
      </c>
      <c r="K317" s="24" t="str">
        <f t="shared" si="18"/>
        <v/>
      </c>
      <c r="L317" s="27" t="str">
        <f t="shared" si="19"/>
        <v>Untested</v>
      </c>
    </row>
    <row r="318" spans="1:12" x14ac:dyDescent="0.2">
      <c r="A318" s="3" t="s">
        <v>283</v>
      </c>
      <c r="B318" s="3" t="s">
        <v>386</v>
      </c>
      <c r="C318" s="3" t="s">
        <v>384</v>
      </c>
      <c r="D318" s="4">
        <v>42401</v>
      </c>
      <c r="E318" s="3">
        <v>20</v>
      </c>
      <c r="F318" s="3">
        <v>0</v>
      </c>
      <c r="G318" s="9">
        <v>0</v>
      </c>
      <c r="H318" s="9">
        <v>29.95</v>
      </c>
      <c r="I318" s="22">
        <f t="shared" si="16"/>
        <v>1.4975000000000001</v>
      </c>
      <c r="J318" s="22" t="str">
        <f t="shared" si="17"/>
        <v>Medium</v>
      </c>
      <c r="K318" s="24" t="str">
        <f t="shared" si="18"/>
        <v/>
      </c>
      <c r="L318" s="27" t="str">
        <f t="shared" si="19"/>
        <v>Untested</v>
      </c>
    </row>
    <row r="319" spans="1:12" x14ac:dyDescent="0.2">
      <c r="A319" s="3" t="s">
        <v>328</v>
      </c>
      <c r="B319" s="3" t="s">
        <v>386</v>
      </c>
      <c r="C319" s="3" t="s">
        <v>384</v>
      </c>
      <c r="D319" s="4">
        <v>42401</v>
      </c>
      <c r="E319" s="3">
        <v>65</v>
      </c>
      <c r="F319" s="3">
        <v>0</v>
      </c>
      <c r="G319" s="9">
        <v>0</v>
      </c>
      <c r="H319" s="9">
        <v>163.37</v>
      </c>
      <c r="I319" s="22">
        <f t="shared" si="16"/>
        <v>2.5133846153846156</v>
      </c>
      <c r="J319" s="22" t="str">
        <f t="shared" si="17"/>
        <v>High</v>
      </c>
      <c r="K319" s="24" t="str">
        <f t="shared" si="18"/>
        <v/>
      </c>
      <c r="L319" s="27" t="str">
        <f t="shared" si="19"/>
        <v>Untested</v>
      </c>
    </row>
    <row r="320" spans="1:12" x14ac:dyDescent="0.2">
      <c r="A320" s="3" t="s">
        <v>356</v>
      </c>
      <c r="B320" s="3" t="s">
        <v>386</v>
      </c>
      <c r="C320" s="3" t="s">
        <v>384</v>
      </c>
      <c r="D320" s="4">
        <v>42401</v>
      </c>
      <c r="E320" s="3">
        <v>117</v>
      </c>
      <c r="F320" s="3">
        <v>0</v>
      </c>
      <c r="G320" s="9">
        <v>0</v>
      </c>
      <c r="H320" s="9">
        <v>161.57</v>
      </c>
      <c r="I320" s="22">
        <f t="shared" si="16"/>
        <v>1.380940170940171</v>
      </c>
      <c r="J320" s="22" t="str">
        <f t="shared" si="17"/>
        <v>Medium</v>
      </c>
      <c r="K320" s="24" t="str">
        <f t="shared" si="18"/>
        <v/>
      </c>
      <c r="L320" s="27" t="str">
        <f t="shared" si="19"/>
        <v>Untested</v>
      </c>
    </row>
    <row r="321" spans="1:12" x14ac:dyDescent="0.2">
      <c r="A321" s="3" t="s">
        <v>369</v>
      </c>
      <c r="B321" s="3" t="s">
        <v>386</v>
      </c>
      <c r="C321" s="3" t="s">
        <v>313</v>
      </c>
      <c r="D321" s="4">
        <v>42370</v>
      </c>
      <c r="E321" s="3">
        <v>12</v>
      </c>
      <c r="F321" s="3">
        <v>0</v>
      </c>
      <c r="G321" s="9">
        <v>0</v>
      </c>
      <c r="H321" s="9">
        <v>6.43</v>
      </c>
      <c r="I321" s="22">
        <f t="shared" si="16"/>
        <v>0.53583333333333327</v>
      </c>
      <c r="J321" s="22" t="str">
        <f t="shared" si="17"/>
        <v>Medium</v>
      </c>
      <c r="K321" s="24" t="str">
        <f t="shared" si="18"/>
        <v/>
      </c>
      <c r="L321" s="27" t="str">
        <f t="shared" si="19"/>
        <v>Untested</v>
      </c>
    </row>
    <row r="322" spans="1:12" x14ac:dyDescent="0.2">
      <c r="A322" s="3" t="s">
        <v>287</v>
      </c>
      <c r="B322" s="3" t="s">
        <v>386</v>
      </c>
      <c r="C322" s="3" t="s">
        <v>313</v>
      </c>
      <c r="D322" s="4">
        <v>42401</v>
      </c>
      <c r="E322" s="3">
        <v>6</v>
      </c>
      <c r="F322" s="3">
        <v>0</v>
      </c>
      <c r="G322" s="9">
        <v>0</v>
      </c>
      <c r="H322" s="9">
        <v>18.03</v>
      </c>
      <c r="I322" s="22">
        <f t="shared" si="16"/>
        <v>3.0050000000000003</v>
      </c>
      <c r="J322" s="22" t="str">
        <f t="shared" si="17"/>
        <v>High</v>
      </c>
      <c r="K322" s="24" t="str">
        <f t="shared" si="18"/>
        <v/>
      </c>
      <c r="L322" s="27" t="str">
        <f t="shared" si="19"/>
        <v>Untested</v>
      </c>
    </row>
    <row r="323" spans="1:12" x14ac:dyDescent="0.2">
      <c r="A323" s="3" t="s">
        <v>332</v>
      </c>
      <c r="B323" s="3" t="s">
        <v>386</v>
      </c>
      <c r="C323" s="3" t="s">
        <v>313</v>
      </c>
      <c r="D323" s="4">
        <v>42430</v>
      </c>
      <c r="E323" s="3">
        <v>28</v>
      </c>
      <c r="F323" s="3">
        <v>0</v>
      </c>
      <c r="G323" s="9">
        <v>0</v>
      </c>
      <c r="H323" s="9">
        <v>37.65</v>
      </c>
      <c r="I323" s="22">
        <f t="shared" ref="I323:I381" si="20">IF(E323&gt;0,H323/E323,"")</f>
        <v>1.344642857142857</v>
      </c>
      <c r="J323" s="22" t="str">
        <f t="shared" ref="J323:J381" si="21">IF(ISNUMBER(I323),IF(I323&lt;=0.5,"Low",IF(I323&lt;=1.5,"Medium","High")),"Untested")</f>
        <v>Medium</v>
      </c>
      <c r="K323" s="24" t="str">
        <f t="shared" ref="K323:K381" si="22">IF(G323&gt;0,G323/F323,"")</f>
        <v/>
      </c>
      <c r="L323" s="27" t="str">
        <f t="shared" ref="L323:L381" si="23">IF(ISNUMBER(K323),IF(K323&lt;=75,"Low",IF(K323&lt;=200,"Medium","High")),"Untested")</f>
        <v>Untested</v>
      </c>
    </row>
    <row r="324" spans="1:12" x14ac:dyDescent="0.2">
      <c r="A324" s="3" t="s">
        <v>371</v>
      </c>
      <c r="B324" s="3" t="s">
        <v>386</v>
      </c>
      <c r="C324" s="3" t="s">
        <v>313</v>
      </c>
      <c r="D324" s="4">
        <v>42370</v>
      </c>
      <c r="E324" s="3">
        <v>29</v>
      </c>
      <c r="F324" s="3">
        <v>0</v>
      </c>
      <c r="G324" s="9">
        <v>0</v>
      </c>
      <c r="H324" s="9">
        <v>12.63</v>
      </c>
      <c r="I324" s="22">
        <f t="shared" si="20"/>
        <v>0.43551724137931036</v>
      </c>
      <c r="J324" s="22" t="str">
        <f t="shared" si="21"/>
        <v>Low</v>
      </c>
      <c r="K324" s="24" t="str">
        <f t="shared" si="22"/>
        <v/>
      </c>
      <c r="L324" s="27" t="str">
        <f t="shared" si="23"/>
        <v>Untested</v>
      </c>
    </row>
    <row r="325" spans="1:12" x14ac:dyDescent="0.2">
      <c r="A325" s="3" t="s">
        <v>343</v>
      </c>
      <c r="B325" s="3" t="s">
        <v>386</v>
      </c>
      <c r="C325" s="3" t="s">
        <v>313</v>
      </c>
      <c r="D325" s="4">
        <v>42430</v>
      </c>
      <c r="E325" s="3">
        <v>0</v>
      </c>
      <c r="F325" s="3">
        <v>0</v>
      </c>
      <c r="G325" s="9">
        <v>0</v>
      </c>
      <c r="H325" s="9">
        <v>1.63</v>
      </c>
      <c r="I325" s="22" t="str">
        <f t="shared" si="20"/>
        <v/>
      </c>
      <c r="J325" s="22" t="str">
        <f t="shared" si="21"/>
        <v>Untested</v>
      </c>
      <c r="K325" s="24" t="str">
        <f t="shared" si="22"/>
        <v/>
      </c>
      <c r="L325" s="27" t="str">
        <f t="shared" si="23"/>
        <v>Untested</v>
      </c>
    </row>
    <row r="326" spans="1:12" x14ac:dyDescent="0.2">
      <c r="A326" s="3" t="s">
        <v>320</v>
      </c>
      <c r="B326" s="3" t="s">
        <v>386</v>
      </c>
      <c r="C326" s="3" t="s">
        <v>313</v>
      </c>
      <c r="D326" s="4">
        <v>42430</v>
      </c>
      <c r="E326" s="3">
        <v>36</v>
      </c>
      <c r="F326" s="3">
        <v>0</v>
      </c>
      <c r="G326" s="9">
        <v>0</v>
      </c>
      <c r="H326" s="9">
        <v>39.92</v>
      </c>
      <c r="I326" s="22">
        <f t="shared" si="20"/>
        <v>1.108888888888889</v>
      </c>
      <c r="J326" s="22" t="str">
        <f t="shared" si="21"/>
        <v>Medium</v>
      </c>
      <c r="K326" s="24" t="str">
        <f t="shared" si="22"/>
        <v/>
      </c>
      <c r="L326" s="27" t="str">
        <f t="shared" si="23"/>
        <v>Untested</v>
      </c>
    </row>
    <row r="327" spans="1:12" x14ac:dyDescent="0.2">
      <c r="A327" s="3" t="s">
        <v>376</v>
      </c>
      <c r="B327" s="3" t="s">
        <v>386</v>
      </c>
      <c r="C327" s="3" t="s">
        <v>313</v>
      </c>
      <c r="D327" s="4">
        <v>42370</v>
      </c>
      <c r="E327" s="3">
        <v>6</v>
      </c>
      <c r="F327" s="3">
        <v>0</v>
      </c>
      <c r="G327" s="9">
        <v>0</v>
      </c>
      <c r="H327" s="9">
        <v>4.26</v>
      </c>
      <c r="I327" s="22">
        <f t="shared" si="20"/>
        <v>0.71</v>
      </c>
      <c r="J327" s="22" t="str">
        <f t="shared" si="21"/>
        <v>Medium</v>
      </c>
      <c r="K327" s="24" t="str">
        <f t="shared" si="22"/>
        <v/>
      </c>
      <c r="L327" s="27" t="str">
        <f t="shared" si="23"/>
        <v>Untested</v>
      </c>
    </row>
    <row r="328" spans="1:12" x14ac:dyDescent="0.2">
      <c r="A328" s="3" t="s">
        <v>263</v>
      </c>
      <c r="B328" s="3" t="s">
        <v>388</v>
      </c>
      <c r="C328" s="3" t="s">
        <v>384</v>
      </c>
      <c r="D328" s="4">
        <v>42370</v>
      </c>
      <c r="E328" s="3">
        <v>23</v>
      </c>
      <c r="F328" s="3">
        <v>0</v>
      </c>
      <c r="G328" s="9">
        <v>0</v>
      </c>
      <c r="H328" s="9">
        <v>22.35</v>
      </c>
      <c r="I328" s="22">
        <f t="shared" si="20"/>
        <v>0.97173913043478266</v>
      </c>
      <c r="J328" s="22" t="str">
        <f t="shared" si="21"/>
        <v>Medium</v>
      </c>
      <c r="K328" s="24" t="str">
        <f t="shared" si="22"/>
        <v/>
      </c>
      <c r="L328" s="27" t="str">
        <f t="shared" si="23"/>
        <v>Untested</v>
      </c>
    </row>
    <row r="329" spans="1:12" x14ac:dyDescent="0.2">
      <c r="A329" s="3" t="s">
        <v>378</v>
      </c>
      <c r="B329" s="3" t="s">
        <v>22</v>
      </c>
      <c r="C329" s="3" t="s">
        <v>313</v>
      </c>
      <c r="D329" s="4">
        <v>42401</v>
      </c>
      <c r="E329" s="3">
        <v>7</v>
      </c>
      <c r="F329" s="3">
        <v>0</v>
      </c>
      <c r="G329" s="9">
        <v>0</v>
      </c>
      <c r="H329" s="9">
        <v>6.1</v>
      </c>
      <c r="I329" s="22">
        <f t="shared" si="20"/>
        <v>0.87142857142857133</v>
      </c>
      <c r="J329" s="22" t="str">
        <f t="shared" si="21"/>
        <v>Medium</v>
      </c>
      <c r="K329" s="24" t="str">
        <f t="shared" si="22"/>
        <v/>
      </c>
      <c r="L329" s="27" t="str">
        <f t="shared" si="23"/>
        <v>Untested</v>
      </c>
    </row>
    <row r="330" spans="1:12" x14ac:dyDescent="0.2">
      <c r="A330" s="3" t="s">
        <v>337</v>
      </c>
      <c r="B330" s="3" t="s">
        <v>386</v>
      </c>
      <c r="C330" s="3" t="s">
        <v>313</v>
      </c>
      <c r="D330" s="4">
        <v>42401</v>
      </c>
      <c r="E330" s="3">
        <v>5</v>
      </c>
      <c r="F330" s="3">
        <v>0</v>
      </c>
      <c r="G330" s="9">
        <v>0</v>
      </c>
      <c r="H330" s="9">
        <v>20.61</v>
      </c>
      <c r="I330" s="22">
        <f t="shared" si="20"/>
        <v>4.1219999999999999</v>
      </c>
      <c r="J330" s="22" t="str">
        <f t="shared" si="21"/>
        <v>High</v>
      </c>
      <c r="K330" s="24" t="str">
        <f t="shared" si="22"/>
        <v/>
      </c>
      <c r="L330" s="27" t="str">
        <f t="shared" si="23"/>
        <v>Untested</v>
      </c>
    </row>
    <row r="331" spans="1:12" x14ac:dyDescent="0.2">
      <c r="A331" s="3" t="s">
        <v>296</v>
      </c>
      <c r="B331" s="3" t="s">
        <v>386</v>
      </c>
      <c r="C331" s="3" t="s">
        <v>340</v>
      </c>
      <c r="D331" s="4">
        <v>42430</v>
      </c>
      <c r="E331" s="3">
        <v>2</v>
      </c>
      <c r="F331" s="3">
        <v>0</v>
      </c>
      <c r="G331" s="9">
        <v>0</v>
      </c>
      <c r="H331" s="9">
        <v>1.72</v>
      </c>
      <c r="I331" s="22">
        <f t="shared" si="20"/>
        <v>0.86</v>
      </c>
      <c r="J331" s="22" t="str">
        <f t="shared" si="21"/>
        <v>Medium</v>
      </c>
      <c r="K331" s="24" t="str">
        <f t="shared" si="22"/>
        <v/>
      </c>
      <c r="L331" s="27" t="str">
        <f t="shared" si="23"/>
        <v>Untested</v>
      </c>
    </row>
    <row r="332" spans="1:12" x14ac:dyDescent="0.2">
      <c r="A332" s="3" t="s">
        <v>284</v>
      </c>
      <c r="B332" s="3" t="s">
        <v>386</v>
      </c>
      <c r="C332" s="3" t="s">
        <v>340</v>
      </c>
      <c r="D332" s="4">
        <v>42430</v>
      </c>
      <c r="E332" s="3">
        <v>15</v>
      </c>
      <c r="F332" s="3">
        <v>0</v>
      </c>
      <c r="G332" s="9">
        <v>0</v>
      </c>
      <c r="H332" s="9">
        <v>10.89</v>
      </c>
      <c r="I332" s="22">
        <f t="shared" si="20"/>
        <v>0.72600000000000009</v>
      </c>
      <c r="J332" s="22" t="str">
        <f t="shared" si="21"/>
        <v>Medium</v>
      </c>
      <c r="K332" s="24" t="str">
        <f t="shared" si="22"/>
        <v/>
      </c>
      <c r="L332" s="27" t="str">
        <f t="shared" si="23"/>
        <v>Untested</v>
      </c>
    </row>
    <row r="333" spans="1:12" x14ac:dyDescent="0.2">
      <c r="A333" s="3" t="s">
        <v>352</v>
      </c>
      <c r="B333" s="3" t="s">
        <v>22</v>
      </c>
      <c r="C333" s="3" t="s">
        <v>340</v>
      </c>
      <c r="D333" s="4">
        <v>42430</v>
      </c>
      <c r="E333" s="3">
        <v>30</v>
      </c>
      <c r="F333" s="3">
        <v>0</v>
      </c>
      <c r="G333" s="9">
        <v>0</v>
      </c>
      <c r="H333" s="9">
        <v>37.53</v>
      </c>
      <c r="I333" s="22">
        <f t="shared" si="20"/>
        <v>1.2510000000000001</v>
      </c>
      <c r="J333" s="22" t="str">
        <f t="shared" si="21"/>
        <v>Medium</v>
      </c>
      <c r="K333" s="24" t="str">
        <f t="shared" si="22"/>
        <v/>
      </c>
      <c r="L333" s="27" t="str">
        <f t="shared" si="23"/>
        <v>Untested</v>
      </c>
    </row>
    <row r="334" spans="1:12" x14ac:dyDescent="0.2">
      <c r="A334" s="3" t="s">
        <v>298</v>
      </c>
      <c r="B334" s="3" t="s">
        <v>237</v>
      </c>
      <c r="C334" s="3" t="s">
        <v>340</v>
      </c>
      <c r="D334" s="4">
        <v>42430</v>
      </c>
      <c r="E334" s="3">
        <v>34</v>
      </c>
      <c r="F334" s="3">
        <v>0</v>
      </c>
      <c r="G334" s="9">
        <v>0</v>
      </c>
      <c r="H334" s="9">
        <v>33.25</v>
      </c>
      <c r="I334" s="22">
        <f t="shared" si="20"/>
        <v>0.9779411764705882</v>
      </c>
      <c r="J334" s="22" t="str">
        <f t="shared" si="21"/>
        <v>Medium</v>
      </c>
      <c r="K334" s="24" t="str">
        <f t="shared" si="22"/>
        <v/>
      </c>
      <c r="L334" s="27" t="str">
        <f t="shared" si="23"/>
        <v>Untested</v>
      </c>
    </row>
    <row r="335" spans="1:12" x14ac:dyDescent="0.2">
      <c r="A335" s="3" t="s">
        <v>333</v>
      </c>
      <c r="B335" s="3" t="s">
        <v>386</v>
      </c>
      <c r="C335" s="3" t="s">
        <v>340</v>
      </c>
      <c r="D335" s="4">
        <v>42430</v>
      </c>
      <c r="E335" s="3">
        <v>1</v>
      </c>
      <c r="F335" s="3">
        <v>0</v>
      </c>
      <c r="G335" s="9">
        <v>0</v>
      </c>
      <c r="H335" s="9">
        <v>5.0199999999999996</v>
      </c>
      <c r="I335" s="22">
        <f t="shared" si="20"/>
        <v>5.0199999999999996</v>
      </c>
      <c r="J335" s="22" t="str">
        <f t="shared" si="21"/>
        <v>High</v>
      </c>
      <c r="K335" s="24" t="str">
        <f t="shared" si="22"/>
        <v/>
      </c>
      <c r="L335" s="27" t="str">
        <f t="shared" si="23"/>
        <v>Untested</v>
      </c>
    </row>
    <row r="336" spans="1:12" x14ac:dyDescent="0.2">
      <c r="A336" s="3" t="s">
        <v>278</v>
      </c>
      <c r="B336" s="3" t="s">
        <v>22</v>
      </c>
      <c r="C336" s="3" t="s">
        <v>340</v>
      </c>
      <c r="D336" s="4">
        <v>42401</v>
      </c>
      <c r="E336" s="3">
        <v>5</v>
      </c>
      <c r="F336" s="3">
        <v>0</v>
      </c>
      <c r="G336" s="9">
        <v>0</v>
      </c>
      <c r="H336" s="9">
        <v>8.34</v>
      </c>
      <c r="I336" s="22">
        <f t="shared" si="20"/>
        <v>1.6679999999999999</v>
      </c>
      <c r="J336" s="22" t="str">
        <f t="shared" si="21"/>
        <v>High</v>
      </c>
      <c r="K336" s="24" t="str">
        <f t="shared" si="22"/>
        <v/>
      </c>
      <c r="L336" s="27" t="str">
        <f t="shared" si="23"/>
        <v>Untested</v>
      </c>
    </row>
    <row r="337" spans="1:12" x14ac:dyDescent="0.2">
      <c r="A337" s="3" t="s">
        <v>351</v>
      </c>
      <c r="B337" s="3" t="s">
        <v>22</v>
      </c>
      <c r="C337" s="3" t="s">
        <v>340</v>
      </c>
      <c r="D337" s="4">
        <v>42430</v>
      </c>
      <c r="E337" s="3">
        <v>52</v>
      </c>
      <c r="F337" s="3">
        <v>0</v>
      </c>
      <c r="G337" s="9">
        <v>0</v>
      </c>
      <c r="H337" s="9">
        <v>60.95</v>
      </c>
      <c r="I337" s="22">
        <f t="shared" si="20"/>
        <v>1.1721153846153847</v>
      </c>
      <c r="J337" s="22" t="str">
        <f t="shared" si="21"/>
        <v>Medium</v>
      </c>
      <c r="K337" s="24" t="str">
        <f t="shared" si="22"/>
        <v/>
      </c>
      <c r="L337" s="27" t="str">
        <f t="shared" si="23"/>
        <v>Untested</v>
      </c>
    </row>
    <row r="338" spans="1:12" x14ac:dyDescent="0.2">
      <c r="A338" s="3" t="s">
        <v>267</v>
      </c>
      <c r="B338" s="3" t="s">
        <v>237</v>
      </c>
      <c r="C338" s="3" t="s">
        <v>340</v>
      </c>
      <c r="D338" s="4">
        <v>42430</v>
      </c>
      <c r="E338" s="3">
        <v>36</v>
      </c>
      <c r="F338" s="3">
        <v>0</v>
      </c>
      <c r="G338" s="9">
        <v>0</v>
      </c>
      <c r="H338" s="9">
        <v>7.27</v>
      </c>
      <c r="I338" s="22">
        <f t="shared" si="20"/>
        <v>0.20194444444444443</v>
      </c>
      <c r="J338" s="22" t="str">
        <f t="shared" si="21"/>
        <v>Low</v>
      </c>
      <c r="K338" s="24" t="str">
        <f t="shared" si="22"/>
        <v/>
      </c>
      <c r="L338" s="27" t="str">
        <f t="shared" si="23"/>
        <v>Untested</v>
      </c>
    </row>
    <row r="339" spans="1:12" x14ac:dyDescent="0.2">
      <c r="A339" s="3" t="s">
        <v>247</v>
      </c>
      <c r="B339" s="3" t="s">
        <v>237</v>
      </c>
      <c r="C339" s="3" t="s">
        <v>340</v>
      </c>
      <c r="D339" s="4">
        <v>42370</v>
      </c>
      <c r="E339" s="3">
        <v>4</v>
      </c>
      <c r="F339" s="3">
        <v>0</v>
      </c>
      <c r="G339" s="9">
        <v>0</v>
      </c>
      <c r="H339" s="9">
        <v>9.4</v>
      </c>
      <c r="I339" s="22">
        <f t="shared" si="20"/>
        <v>2.35</v>
      </c>
      <c r="J339" s="22" t="str">
        <f t="shared" si="21"/>
        <v>High</v>
      </c>
      <c r="K339" s="24" t="str">
        <f t="shared" si="22"/>
        <v/>
      </c>
      <c r="L339" s="27" t="str">
        <f t="shared" si="23"/>
        <v>Untested</v>
      </c>
    </row>
    <row r="340" spans="1:12" x14ac:dyDescent="0.2">
      <c r="A340" s="3" t="s">
        <v>348</v>
      </c>
      <c r="B340" s="3" t="s">
        <v>386</v>
      </c>
      <c r="C340" s="3" t="s">
        <v>340</v>
      </c>
      <c r="D340" s="4">
        <v>42401</v>
      </c>
      <c r="E340" s="3">
        <v>9</v>
      </c>
      <c r="F340" s="3">
        <v>0</v>
      </c>
      <c r="G340" s="9">
        <v>0</v>
      </c>
      <c r="H340" s="9">
        <v>3.68</v>
      </c>
      <c r="I340" s="22">
        <f t="shared" si="20"/>
        <v>0.40888888888888891</v>
      </c>
      <c r="J340" s="22" t="str">
        <f t="shared" si="21"/>
        <v>Low</v>
      </c>
      <c r="K340" s="24" t="str">
        <f t="shared" si="22"/>
        <v/>
      </c>
      <c r="L340" s="27" t="str">
        <f t="shared" si="23"/>
        <v>Untested</v>
      </c>
    </row>
    <row r="341" spans="1:12" x14ac:dyDescent="0.2">
      <c r="A341" s="3" t="s">
        <v>276</v>
      </c>
      <c r="B341" s="3" t="s">
        <v>386</v>
      </c>
      <c r="C341" s="3" t="s">
        <v>313</v>
      </c>
      <c r="D341" s="4">
        <v>42370</v>
      </c>
      <c r="E341" s="3">
        <v>12</v>
      </c>
      <c r="F341" s="3">
        <v>0</v>
      </c>
      <c r="G341" s="9">
        <v>0</v>
      </c>
      <c r="H341" s="9">
        <v>15.94</v>
      </c>
      <c r="I341" s="22">
        <f t="shared" si="20"/>
        <v>1.3283333333333334</v>
      </c>
      <c r="J341" s="22" t="str">
        <f t="shared" si="21"/>
        <v>Medium</v>
      </c>
      <c r="K341" s="24" t="str">
        <f t="shared" si="22"/>
        <v/>
      </c>
      <c r="L341" s="27" t="str">
        <f t="shared" si="23"/>
        <v>Untested</v>
      </c>
    </row>
    <row r="342" spans="1:12" x14ac:dyDescent="0.2">
      <c r="A342" s="3" t="s">
        <v>260</v>
      </c>
      <c r="B342" s="3" t="s">
        <v>386</v>
      </c>
      <c r="C342" s="3" t="s">
        <v>341</v>
      </c>
      <c r="D342" s="4">
        <v>42370</v>
      </c>
      <c r="E342" s="3">
        <v>6</v>
      </c>
      <c r="F342" s="3">
        <v>0</v>
      </c>
      <c r="G342" s="9">
        <v>0</v>
      </c>
      <c r="H342" s="9">
        <v>4.88</v>
      </c>
      <c r="I342" s="22">
        <f t="shared" si="20"/>
        <v>0.81333333333333335</v>
      </c>
      <c r="J342" s="22" t="str">
        <f t="shared" si="21"/>
        <v>Medium</v>
      </c>
      <c r="K342" s="24" t="str">
        <f t="shared" si="22"/>
        <v/>
      </c>
      <c r="L342" s="27" t="str">
        <f t="shared" si="23"/>
        <v>Untested</v>
      </c>
    </row>
    <row r="343" spans="1:12" x14ac:dyDescent="0.2">
      <c r="A343" s="3" t="s">
        <v>316</v>
      </c>
      <c r="B343" s="3" t="s">
        <v>386</v>
      </c>
      <c r="C343" s="3" t="s">
        <v>341</v>
      </c>
      <c r="D343" s="4">
        <v>42430</v>
      </c>
      <c r="E343" s="3">
        <v>2</v>
      </c>
      <c r="F343" s="3">
        <v>0</v>
      </c>
      <c r="G343" s="9">
        <v>0</v>
      </c>
      <c r="H343" s="9">
        <v>1.1499999999999999</v>
      </c>
      <c r="I343" s="22">
        <f t="shared" si="20"/>
        <v>0.57499999999999996</v>
      </c>
      <c r="J343" s="22" t="str">
        <f t="shared" si="21"/>
        <v>Medium</v>
      </c>
      <c r="K343" s="24" t="str">
        <f t="shared" si="22"/>
        <v/>
      </c>
      <c r="L343" s="27" t="str">
        <f t="shared" si="23"/>
        <v>Untested</v>
      </c>
    </row>
    <row r="344" spans="1:12" x14ac:dyDescent="0.2">
      <c r="A344" s="3" t="s">
        <v>253</v>
      </c>
      <c r="B344" s="3" t="s">
        <v>386</v>
      </c>
      <c r="C344" s="3" t="s">
        <v>313</v>
      </c>
      <c r="D344" s="4">
        <v>42430</v>
      </c>
      <c r="E344" s="3">
        <v>4</v>
      </c>
      <c r="F344" s="3">
        <v>0</v>
      </c>
      <c r="G344" s="9">
        <v>0</v>
      </c>
      <c r="H344" s="9">
        <v>9.9</v>
      </c>
      <c r="I344" s="22">
        <f t="shared" si="20"/>
        <v>2.4750000000000001</v>
      </c>
      <c r="J344" s="22" t="str">
        <f t="shared" si="21"/>
        <v>High</v>
      </c>
      <c r="K344" s="24" t="str">
        <f t="shared" si="22"/>
        <v/>
      </c>
      <c r="L344" s="27" t="str">
        <f t="shared" si="23"/>
        <v>Untested</v>
      </c>
    </row>
    <row r="345" spans="1:12" x14ac:dyDescent="0.2">
      <c r="A345" s="3" t="s">
        <v>311</v>
      </c>
      <c r="B345" s="3" t="s">
        <v>386</v>
      </c>
      <c r="C345" s="3" t="s">
        <v>313</v>
      </c>
      <c r="D345" s="4">
        <v>42401</v>
      </c>
      <c r="E345" s="3">
        <v>40</v>
      </c>
      <c r="F345" s="3">
        <v>0</v>
      </c>
      <c r="G345" s="9">
        <v>0</v>
      </c>
      <c r="H345" s="9">
        <v>17.309999999999999</v>
      </c>
      <c r="I345" s="22">
        <f t="shared" si="20"/>
        <v>0.43274999999999997</v>
      </c>
      <c r="J345" s="22" t="str">
        <f t="shared" si="21"/>
        <v>Low</v>
      </c>
      <c r="K345" s="24" t="str">
        <f t="shared" si="22"/>
        <v/>
      </c>
      <c r="L345" s="27" t="str">
        <f t="shared" si="23"/>
        <v>Untested</v>
      </c>
    </row>
    <row r="346" spans="1:12" x14ac:dyDescent="0.2">
      <c r="A346" s="3" t="s">
        <v>336</v>
      </c>
      <c r="B346" s="3" t="s">
        <v>385</v>
      </c>
      <c r="C346" s="3" t="s">
        <v>364</v>
      </c>
      <c r="D346" s="4">
        <v>42401</v>
      </c>
      <c r="E346" s="3">
        <v>54</v>
      </c>
      <c r="F346" s="3">
        <v>0</v>
      </c>
      <c r="G346" s="9">
        <v>0</v>
      </c>
      <c r="H346" s="9">
        <v>36.81</v>
      </c>
      <c r="I346" s="22">
        <f t="shared" si="20"/>
        <v>0.68166666666666675</v>
      </c>
      <c r="J346" s="22" t="str">
        <f t="shared" si="21"/>
        <v>Medium</v>
      </c>
      <c r="K346" s="24" t="str">
        <f t="shared" si="22"/>
        <v/>
      </c>
      <c r="L346" s="27" t="str">
        <f t="shared" si="23"/>
        <v>Untested</v>
      </c>
    </row>
    <row r="347" spans="1:12" x14ac:dyDescent="0.2">
      <c r="A347" s="3" t="s">
        <v>374</v>
      </c>
      <c r="B347" s="3" t="s">
        <v>386</v>
      </c>
      <c r="C347" s="3" t="s">
        <v>383</v>
      </c>
      <c r="D347" s="4">
        <v>42401</v>
      </c>
      <c r="E347" s="3">
        <v>35</v>
      </c>
      <c r="F347" s="3">
        <v>0</v>
      </c>
      <c r="G347" s="9">
        <v>0</v>
      </c>
      <c r="H347" s="9">
        <v>39.83</v>
      </c>
      <c r="I347" s="22">
        <f t="shared" si="20"/>
        <v>1.1379999999999999</v>
      </c>
      <c r="J347" s="22" t="str">
        <f t="shared" si="21"/>
        <v>Medium</v>
      </c>
      <c r="K347" s="24" t="str">
        <f t="shared" si="22"/>
        <v/>
      </c>
      <c r="L347" s="27" t="str">
        <f t="shared" si="23"/>
        <v>Untested</v>
      </c>
    </row>
    <row r="348" spans="1:12" x14ac:dyDescent="0.2">
      <c r="A348" s="3" t="s">
        <v>350</v>
      </c>
      <c r="B348" s="3" t="s">
        <v>22</v>
      </c>
      <c r="C348" s="3" t="s">
        <v>383</v>
      </c>
      <c r="D348" s="4">
        <v>42401</v>
      </c>
      <c r="E348" s="3">
        <v>7</v>
      </c>
      <c r="F348" s="3">
        <v>0</v>
      </c>
      <c r="G348" s="9">
        <v>0</v>
      </c>
      <c r="H348" s="9">
        <v>2.19</v>
      </c>
      <c r="I348" s="22">
        <f t="shared" si="20"/>
        <v>0.31285714285714283</v>
      </c>
      <c r="J348" s="22" t="str">
        <f t="shared" si="21"/>
        <v>Low</v>
      </c>
      <c r="K348" s="24" t="str">
        <f t="shared" si="22"/>
        <v/>
      </c>
      <c r="L348" s="27" t="str">
        <f t="shared" si="23"/>
        <v>Untested</v>
      </c>
    </row>
    <row r="349" spans="1:12" x14ac:dyDescent="0.2">
      <c r="A349" s="3" t="s">
        <v>347</v>
      </c>
      <c r="B349" s="3" t="s">
        <v>386</v>
      </c>
      <c r="C349" s="3" t="s">
        <v>313</v>
      </c>
      <c r="D349" s="4">
        <v>42401</v>
      </c>
      <c r="E349" s="3">
        <v>94</v>
      </c>
      <c r="F349" s="3">
        <v>0</v>
      </c>
      <c r="G349" s="9">
        <v>0</v>
      </c>
      <c r="H349" s="9">
        <v>36.54</v>
      </c>
      <c r="I349" s="22">
        <f t="shared" si="20"/>
        <v>0.38872340425531915</v>
      </c>
      <c r="J349" s="22" t="str">
        <f t="shared" si="21"/>
        <v>Low</v>
      </c>
      <c r="K349" s="24" t="str">
        <f t="shared" si="22"/>
        <v/>
      </c>
      <c r="L349" s="27" t="str">
        <f t="shared" si="23"/>
        <v>Untested</v>
      </c>
    </row>
    <row r="350" spans="1:12" x14ac:dyDescent="0.2">
      <c r="A350" s="3" t="s">
        <v>273</v>
      </c>
      <c r="B350" s="3" t="s">
        <v>237</v>
      </c>
      <c r="C350" s="3" t="s">
        <v>313</v>
      </c>
      <c r="D350" s="4">
        <v>42401</v>
      </c>
      <c r="E350" s="3">
        <v>10</v>
      </c>
      <c r="F350" s="3">
        <v>0</v>
      </c>
      <c r="G350" s="9">
        <v>0</v>
      </c>
      <c r="H350" s="9">
        <v>8.4</v>
      </c>
      <c r="I350" s="22">
        <f t="shared" si="20"/>
        <v>0.84000000000000008</v>
      </c>
      <c r="J350" s="22" t="str">
        <f t="shared" si="21"/>
        <v>Medium</v>
      </c>
      <c r="K350" s="24" t="str">
        <f t="shared" si="22"/>
        <v/>
      </c>
      <c r="L350" s="27" t="str">
        <f t="shared" si="23"/>
        <v>Untested</v>
      </c>
    </row>
    <row r="351" spans="1:12" x14ac:dyDescent="0.2">
      <c r="A351" s="3" t="s">
        <v>299</v>
      </c>
      <c r="B351" s="3" t="s">
        <v>386</v>
      </c>
      <c r="C351" s="3" t="s">
        <v>384</v>
      </c>
      <c r="D351" s="4">
        <v>42401</v>
      </c>
      <c r="E351" s="3">
        <v>25</v>
      </c>
      <c r="F351" s="3">
        <v>0</v>
      </c>
      <c r="G351" s="9">
        <v>0</v>
      </c>
      <c r="H351" s="9">
        <v>26.15</v>
      </c>
      <c r="I351" s="22">
        <f t="shared" si="20"/>
        <v>1.046</v>
      </c>
      <c r="J351" s="22" t="str">
        <f t="shared" si="21"/>
        <v>Medium</v>
      </c>
      <c r="K351" s="24" t="str">
        <f t="shared" si="22"/>
        <v/>
      </c>
      <c r="L351" s="27" t="str">
        <f t="shared" si="23"/>
        <v>Untested</v>
      </c>
    </row>
    <row r="352" spans="1:12" x14ac:dyDescent="0.2">
      <c r="A352" s="3" t="s">
        <v>395</v>
      </c>
      <c r="B352" s="3" t="s">
        <v>386</v>
      </c>
      <c r="C352" s="3" t="s">
        <v>341</v>
      </c>
      <c r="D352" s="4">
        <v>42401</v>
      </c>
      <c r="E352" s="3">
        <v>9</v>
      </c>
      <c r="F352" s="3">
        <v>0</v>
      </c>
      <c r="G352" s="9">
        <v>0</v>
      </c>
      <c r="H352" s="9">
        <v>12.9</v>
      </c>
      <c r="I352" s="22">
        <f t="shared" si="20"/>
        <v>1.4333333333333333</v>
      </c>
      <c r="J352" s="22" t="str">
        <f t="shared" si="21"/>
        <v>Medium</v>
      </c>
      <c r="K352" s="24" t="str">
        <f t="shared" si="22"/>
        <v/>
      </c>
      <c r="L352" s="27" t="str">
        <f t="shared" si="23"/>
        <v>Untested</v>
      </c>
    </row>
    <row r="353" spans="1:12" x14ac:dyDescent="0.2">
      <c r="A353" s="3" t="s">
        <v>108</v>
      </c>
      <c r="B353" s="3" t="s">
        <v>386</v>
      </c>
      <c r="C353" s="3" t="s">
        <v>341</v>
      </c>
      <c r="D353" s="4">
        <v>42370</v>
      </c>
      <c r="E353" s="3">
        <v>68</v>
      </c>
      <c r="F353" s="3">
        <v>0</v>
      </c>
      <c r="G353" s="9">
        <v>0</v>
      </c>
      <c r="H353" s="9">
        <v>138.66999999999999</v>
      </c>
      <c r="I353" s="22">
        <f t="shared" si="20"/>
        <v>2.0392647058823528</v>
      </c>
      <c r="J353" s="22" t="str">
        <f t="shared" si="21"/>
        <v>High</v>
      </c>
      <c r="K353" s="24" t="str">
        <f t="shared" si="22"/>
        <v/>
      </c>
      <c r="L353" s="27" t="str">
        <f t="shared" si="23"/>
        <v>Untested</v>
      </c>
    </row>
    <row r="354" spans="1:12" x14ac:dyDescent="0.2">
      <c r="A354" s="3" t="s">
        <v>359</v>
      </c>
      <c r="B354" s="3" t="s">
        <v>386</v>
      </c>
      <c r="C354" s="3" t="s">
        <v>341</v>
      </c>
      <c r="D354" s="4">
        <v>42401</v>
      </c>
      <c r="E354" s="3">
        <v>4</v>
      </c>
      <c r="F354" s="3">
        <v>0</v>
      </c>
      <c r="G354" s="9">
        <v>0</v>
      </c>
      <c r="H354" s="9">
        <v>15.44</v>
      </c>
      <c r="I354" s="22">
        <f t="shared" si="20"/>
        <v>3.86</v>
      </c>
      <c r="J354" s="22" t="str">
        <f t="shared" si="21"/>
        <v>High</v>
      </c>
      <c r="K354" s="24" t="str">
        <f t="shared" si="22"/>
        <v/>
      </c>
      <c r="L354" s="27" t="str">
        <f t="shared" si="23"/>
        <v>Untested</v>
      </c>
    </row>
    <row r="355" spans="1:12" x14ac:dyDescent="0.2">
      <c r="A355" s="3" t="s">
        <v>361</v>
      </c>
      <c r="B355" s="3" t="s">
        <v>386</v>
      </c>
      <c r="C355" s="3" t="s">
        <v>341</v>
      </c>
      <c r="D355" s="4">
        <v>42430</v>
      </c>
      <c r="E355" s="3">
        <v>3</v>
      </c>
      <c r="F355" s="3">
        <v>0</v>
      </c>
      <c r="G355" s="9">
        <v>0</v>
      </c>
      <c r="H355" s="9">
        <v>15.25</v>
      </c>
      <c r="I355" s="22">
        <f t="shared" si="20"/>
        <v>5.083333333333333</v>
      </c>
      <c r="J355" s="22" t="str">
        <f t="shared" si="21"/>
        <v>High</v>
      </c>
      <c r="K355" s="24" t="str">
        <f t="shared" si="22"/>
        <v/>
      </c>
      <c r="L355" s="27" t="str">
        <f t="shared" si="23"/>
        <v>Untested</v>
      </c>
    </row>
    <row r="356" spans="1:12" x14ac:dyDescent="0.2">
      <c r="A356" s="3" t="s">
        <v>303</v>
      </c>
      <c r="B356" s="3" t="s">
        <v>386</v>
      </c>
      <c r="C356" s="3" t="s">
        <v>383</v>
      </c>
      <c r="D356" s="4">
        <v>42401</v>
      </c>
      <c r="E356" s="3">
        <v>22</v>
      </c>
      <c r="F356" s="3">
        <v>0</v>
      </c>
      <c r="G356" s="9">
        <v>0</v>
      </c>
      <c r="H356" s="9">
        <v>13.81</v>
      </c>
      <c r="I356" s="22">
        <f t="shared" si="20"/>
        <v>0.6277272727272728</v>
      </c>
      <c r="J356" s="22" t="str">
        <f t="shared" si="21"/>
        <v>Medium</v>
      </c>
      <c r="K356" s="24" t="str">
        <f t="shared" si="22"/>
        <v/>
      </c>
      <c r="L356" s="27" t="str">
        <f t="shared" si="23"/>
        <v>Untested</v>
      </c>
    </row>
    <row r="357" spans="1:12" x14ac:dyDescent="0.2">
      <c r="A357" s="3" t="s">
        <v>241</v>
      </c>
      <c r="B357" s="3" t="s">
        <v>237</v>
      </c>
      <c r="C357" s="3" t="s">
        <v>313</v>
      </c>
      <c r="D357" s="4">
        <v>42430</v>
      </c>
      <c r="E357" s="3">
        <v>142</v>
      </c>
      <c r="F357" s="3">
        <v>0</v>
      </c>
      <c r="G357" s="9">
        <v>0</v>
      </c>
      <c r="H357" s="9">
        <v>165.29</v>
      </c>
      <c r="I357" s="22">
        <f t="shared" si="20"/>
        <v>1.1640140845070421</v>
      </c>
      <c r="J357" s="22" t="str">
        <f t="shared" si="21"/>
        <v>Medium</v>
      </c>
      <c r="K357" s="24" t="str">
        <f t="shared" si="22"/>
        <v/>
      </c>
      <c r="L357" s="27" t="str">
        <f t="shared" si="23"/>
        <v>Untested</v>
      </c>
    </row>
    <row r="358" spans="1:12" x14ac:dyDescent="0.2">
      <c r="A358" s="3" t="s">
        <v>342</v>
      </c>
      <c r="B358" s="3" t="s">
        <v>386</v>
      </c>
      <c r="C358" s="3" t="s">
        <v>313</v>
      </c>
      <c r="D358" s="4">
        <v>42430</v>
      </c>
      <c r="E358" s="3">
        <v>4</v>
      </c>
      <c r="F358" s="3">
        <v>0</v>
      </c>
      <c r="G358" s="9">
        <v>0</v>
      </c>
      <c r="H358" s="9">
        <v>2.77</v>
      </c>
      <c r="I358" s="22">
        <f t="shared" si="20"/>
        <v>0.6925</v>
      </c>
      <c r="J358" s="22" t="str">
        <f t="shared" si="21"/>
        <v>Medium</v>
      </c>
      <c r="K358" s="24" t="str">
        <f t="shared" si="22"/>
        <v/>
      </c>
      <c r="L358" s="27" t="str">
        <f t="shared" si="23"/>
        <v>Untested</v>
      </c>
    </row>
    <row r="359" spans="1:12" x14ac:dyDescent="0.2">
      <c r="A359" s="3" t="s">
        <v>251</v>
      </c>
      <c r="B359" s="3" t="s">
        <v>386</v>
      </c>
      <c r="C359" s="3" t="s">
        <v>384</v>
      </c>
      <c r="D359" s="4">
        <v>42430</v>
      </c>
      <c r="E359" s="3">
        <v>45</v>
      </c>
      <c r="F359" s="3">
        <v>0</v>
      </c>
      <c r="G359" s="9">
        <v>0</v>
      </c>
      <c r="H359" s="9">
        <v>82.94</v>
      </c>
      <c r="I359" s="22">
        <f t="shared" si="20"/>
        <v>1.8431111111111111</v>
      </c>
      <c r="J359" s="22" t="str">
        <f t="shared" si="21"/>
        <v>High</v>
      </c>
      <c r="K359" s="24" t="str">
        <f t="shared" si="22"/>
        <v/>
      </c>
      <c r="L359" s="27" t="str">
        <f t="shared" si="23"/>
        <v>Untested</v>
      </c>
    </row>
    <row r="360" spans="1:12" x14ac:dyDescent="0.2">
      <c r="A360" s="3" t="s">
        <v>379</v>
      </c>
      <c r="B360" s="3" t="s">
        <v>22</v>
      </c>
      <c r="C360" s="3" t="s">
        <v>313</v>
      </c>
      <c r="D360" s="4">
        <v>42370</v>
      </c>
      <c r="E360" s="3">
        <v>80</v>
      </c>
      <c r="F360" s="3">
        <v>0</v>
      </c>
      <c r="G360" s="9">
        <v>0</v>
      </c>
      <c r="H360" s="9">
        <v>82.74</v>
      </c>
      <c r="I360" s="22">
        <f t="shared" si="20"/>
        <v>1.0342499999999999</v>
      </c>
      <c r="J360" s="22" t="str">
        <f t="shared" si="21"/>
        <v>Medium</v>
      </c>
      <c r="K360" s="24" t="str">
        <f t="shared" si="22"/>
        <v/>
      </c>
      <c r="L360" s="27" t="str">
        <f t="shared" si="23"/>
        <v>Untested</v>
      </c>
    </row>
    <row r="361" spans="1:12" x14ac:dyDescent="0.2">
      <c r="A361" s="3" t="s">
        <v>176</v>
      </c>
      <c r="B361" s="3" t="s">
        <v>22</v>
      </c>
      <c r="C361" s="3" t="s">
        <v>313</v>
      </c>
      <c r="D361" s="4">
        <v>42370</v>
      </c>
      <c r="E361" s="3">
        <v>96</v>
      </c>
      <c r="F361" s="3">
        <v>0</v>
      </c>
      <c r="G361" s="9">
        <v>0</v>
      </c>
      <c r="H361" s="9">
        <v>151.1</v>
      </c>
      <c r="I361" s="22">
        <f t="shared" si="20"/>
        <v>1.5739583333333333</v>
      </c>
      <c r="J361" s="22" t="str">
        <f t="shared" si="21"/>
        <v>High</v>
      </c>
      <c r="K361" s="24" t="str">
        <f t="shared" si="22"/>
        <v/>
      </c>
      <c r="L361" s="27" t="str">
        <f t="shared" si="23"/>
        <v>Untested</v>
      </c>
    </row>
    <row r="362" spans="1:12" x14ac:dyDescent="0.2">
      <c r="A362" s="3" t="s">
        <v>294</v>
      </c>
      <c r="B362" s="3" t="s">
        <v>386</v>
      </c>
      <c r="C362" s="3" t="s">
        <v>313</v>
      </c>
      <c r="D362" s="4">
        <v>42370</v>
      </c>
      <c r="E362" s="3">
        <v>4</v>
      </c>
      <c r="F362" s="3">
        <v>0</v>
      </c>
      <c r="G362" s="9">
        <v>0</v>
      </c>
      <c r="H362" s="9">
        <v>1.7</v>
      </c>
      <c r="I362" s="22">
        <f t="shared" si="20"/>
        <v>0.42499999999999999</v>
      </c>
      <c r="J362" s="22" t="str">
        <f t="shared" si="21"/>
        <v>Low</v>
      </c>
      <c r="K362" s="24" t="str">
        <f t="shared" si="22"/>
        <v/>
      </c>
      <c r="L362" s="27" t="str">
        <f t="shared" si="23"/>
        <v>Untested</v>
      </c>
    </row>
    <row r="363" spans="1:12" x14ac:dyDescent="0.2">
      <c r="A363" s="3" t="s">
        <v>206</v>
      </c>
      <c r="B363" s="3" t="s">
        <v>386</v>
      </c>
      <c r="C363" s="3" t="s">
        <v>313</v>
      </c>
      <c r="D363" s="4">
        <v>42401</v>
      </c>
      <c r="E363" s="3">
        <v>62</v>
      </c>
      <c r="F363" s="3">
        <v>0</v>
      </c>
      <c r="G363" s="9">
        <v>0</v>
      </c>
      <c r="H363" s="9">
        <v>57.58</v>
      </c>
      <c r="I363" s="22">
        <f t="shared" si="20"/>
        <v>0.92870967741935484</v>
      </c>
      <c r="J363" s="22" t="str">
        <f t="shared" si="21"/>
        <v>Medium</v>
      </c>
      <c r="K363" s="24" t="str">
        <f t="shared" si="22"/>
        <v/>
      </c>
      <c r="L363" s="27" t="str">
        <f t="shared" si="23"/>
        <v>Untested</v>
      </c>
    </row>
    <row r="364" spans="1:12" x14ac:dyDescent="0.2">
      <c r="A364" s="3" t="s">
        <v>288</v>
      </c>
      <c r="B364" s="3" t="s">
        <v>386</v>
      </c>
      <c r="C364" s="3" t="s">
        <v>313</v>
      </c>
      <c r="D364" s="4">
        <v>42401</v>
      </c>
      <c r="E364" s="3">
        <v>31</v>
      </c>
      <c r="F364" s="3">
        <v>0</v>
      </c>
      <c r="G364" s="9">
        <v>0</v>
      </c>
      <c r="H364" s="9">
        <v>24.35</v>
      </c>
      <c r="I364" s="22">
        <f t="shared" si="20"/>
        <v>0.78548387096774197</v>
      </c>
      <c r="J364" s="22" t="str">
        <f t="shared" si="21"/>
        <v>Medium</v>
      </c>
      <c r="K364" s="24" t="str">
        <f t="shared" si="22"/>
        <v/>
      </c>
      <c r="L364" s="27" t="str">
        <f t="shared" si="23"/>
        <v>Untested</v>
      </c>
    </row>
    <row r="365" spans="1:12" x14ac:dyDescent="0.2">
      <c r="A365" s="3" t="s">
        <v>324</v>
      </c>
      <c r="B365" s="3" t="s">
        <v>386</v>
      </c>
      <c r="C365" s="3" t="s">
        <v>313</v>
      </c>
      <c r="D365" s="4">
        <v>42430</v>
      </c>
      <c r="E365" s="3">
        <v>14</v>
      </c>
      <c r="F365" s="3">
        <v>0</v>
      </c>
      <c r="G365" s="9">
        <v>0</v>
      </c>
      <c r="H365" s="9">
        <v>15.06</v>
      </c>
      <c r="I365" s="22">
        <f t="shared" si="20"/>
        <v>1.0757142857142858</v>
      </c>
      <c r="J365" s="22" t="str">
        <f t="shared" si="21"/>
        <v>Medium</v>
      </c>
      <c r="K365" s="24" t="str">
        <f t="shared" si="22"/>
        <v/>
      </c>
      <c r="L365" s="27" t="str">
        <f t="shared" si="23"/>
        <v>Untested</v>
      </c>
    </row>
    <row r="366" spans="1:12" x14ac:dyDescent="0.2">
      <c r="A366" s="3" t="s">
        <v>291</v>
      </c>
      <c r="B366" s="3" t="s">
        <v>386</v>
      </c>
      <c r="C366" s="3" t="s">
        <v>313</v>
      </c>
      <c r="D366" s="4">
        <v>42430</v>
      </c>
      <c r="E366" s="3">
        <v>29</v>
      </c>
      <c r="F366" s="3">
        <v>0</v>
      </c>
      <c r="G366" s="9">
        <v>0</v>
      </c>
      <c r="H366" s="9">
        <v>39.520000000000003</v>
      </c>
      <c r="I366" s="22">
        <f t="shared" si="20"/>
        <v>1.3627586206896554</v>
      </c>
      <c r="J366" s="22" t="str">
        <f t="shared" si="21"/>
        <v>Medium</v>
      </c>
      <c r="K366" s="24" t="str">
        <f t="shared" si="22"/>
        <v/>
      </c>
      <c r="L366" s="27" t="str">
        <f t="shared" si="23"/>
        <v>Untested</v>
      </c>
    </row>
    <row r="367" spans="1:12" x14ac:dyDescent="0.2">
      <c r="A367" s="3" t="s">
        <v>272</v>
      </c>
      <c r="B367" s="3" t="s">
        <v>386</v>
      </c>
      <c r="C367" s="3" t="s">
        <v>313</v>
      </c>
      <c r="D367" s="4">
        <v>42370</v>
      </c>
      <c r="E367" s="3">
        <v>5</v>
      </c>
      <c r="F367" s="3">
        <v>0</v>
      </c>
      <c r="G367" s="9">
        <v>0</v>
      </c>
      <c r="H367" s="9">
        <v>5.85</v>
      </c>
      <c r="I367" s="22">
        <f t="shared" si="20"/>
        <v>1.17</v>
      </c>
      <c r="J367" s="22" t="str">
        <f t="shared" si="21"/>
        <v>Medium</v>
      </c>
      <c r="K367" s="24" t="str">
        <f t="shared" si="22"/>
        <v/>
      </c>
      <c r="L367" s="27" t="str">
        <f t="shared" si="23"/>
        <v>Untested</v>
      </c>
    </row>
    <row r="368" spans="1:12" x14ac:dyDescent="0.2">
      <c r="A368" s="3" t="s">
        <v>346</v>
      </c>
      <c r="B368" s="3" t="s">
        <v>386</v>
      </c>
      <c r="C368" s="3" t="s">
        <v>313</v>
      </c>
      <c r="D368" s="4">
        <v>42430</v>
      </c>
      <c r="E368" s="3">
        <v>39</v>
      </c>
      <c r="F368" s="3">
        <v>0</v>
      </c>
      <c r="G368" s="9">
        <v>0</v>
      </c>
      <c r="H368" s="9">
        <v>26.65</v>
      </c>
      <c r="I368" s="22">
        <f t="shared" si="20"/>
        <v>0.68333333333333335</v>
      </c>
      <c r="J368" s="22" t="str">
        <f t="shared" si="21"/>
        <v>Medium</v>
      </c>
      <c r="K368" s="24" t="str">
        <f t="shared" si="22"/>
        <v/>
      </c>
      <c r="L368" s="27" t="str">
        <f t="shared" si="23"/>
        <v>Untested</v>
      </c>
    </row>
    <row r="369" spans="1:12" x14ac:dyDescent="0.2">
      <c r="A369" s="3" t="s">
        <v>368</v>
      </c>
      <c r="B369" s="3" t="s">
        <v>386</v>
      </c>
      <c r="C369" s="3" t="s">
        <v>313</v>
      </c>
      <c r="D369" s="4">
        <v>42370</v>
      </c>
      <c r="E369" s="3">
        <v>13</v>
      </c>
      <c r="F369" s="3">
        <v>0</v>
      </c>
      <c r="G369" s="9">
        <v>0</v>
      </c>
      <c r="H369" s="9">
        <v>12.81</v>
      </c>
      <c r="I369" s="22">
        <f t="shared" si="20"/>
        <v>0.98538461538461541</v>
      </c>
      <c r="J369" s="22" t="str">
        <f t="shared" si="21"/>
        <v>Medium</v>
      </c>
      <c r="K369" s="24" t="str">
        <f t="shared" si="22"/>
        <v/>
      </c>
      <c r="L369" s="27" t="str">
        <f t="shared" si="23"/>
        <v>Untested</v>
      </c>
    </row>
    <row r="370" spans="1:12" x14ac:dyDescent="0.2">
      <c r="A370" s="3" t="s">
        <v>265</v>
      </c>
      <c r="B370" s="3" t="s">
        <v>386</v>
      </c>
      <c r="C370" s="3" t="s">
        <v>313</v>
      </c>
      <c r="D370" s="4">
        <v>42430</v>
      </c>
      <c r="E370" s="3">
        <v>8</v>
      </c>
      <c r="F370" s="3">
        <v>0</v>
      </c>
      <c r="G370" s="9">
        <v>0</v>
      </c>
      <c r="H370" s="9">
        <v>9.1</v>
      </c>
      <c r="I370" s="22">
        <f t="shared" si="20"/>
        <v>1.1375</v>
      </c>
      <c r="J370" s="22" t="str">
        <f t="shared" si="21"/>
        <v>Medium</v>
      </c>
      <c r="K370" s="24" t="str">
        <f t="shared" si="22"/>
        <v/>
      </c>
      <c r="L370" s="27" t="str">
        <f t="shared" si="23"/>
        <v>Untested</v>
      </c>
    </row>
    <row r="371" spans="1:12" x14ac:dyDescent="0.2">
      <c r="A371" s="3" t="s">
        <v>302</v>
      </c>
      <c r="B371" s="3" t="s">
        <v>386</v>
      </c>
      <c r="C371" s="3" t="s">
        <v>313</v>
      </c>
      <c r="D371" s="4">
        <v>42401</v>
      </c>
      <c r="E371" s="3">
        <v>5</v>
      </c>
      <c r="F371" s="3">
        <v>0</v>
      </c>
      <c r="G371" s="9">
        <v>0</v>
      </c>
      <c r="H371" s="9">
        <v>5.33</v>
      </c>
      <c r="I371" s="22">
        <f t="shared" si="20"/>
        <v>1.0660000000000001</v>
      </c>
      <c r="J371" s="22" t="str">
        <f t="shared" si="21"/>
        <v>Medium</v>
      </c>
      <c r="K371" s="24" t="str">
        <f t="shared" si="22"/>
        <v/>
      </c>
      <c r="L371" s="27" t="str">
        <f t="shared" si="23"/>
        <v>Untested</v>
      </c>
    </row>
    <row r="372" spans="1:12" x14ac:dyDescent="0.2">
      <c r="A372" s="3" t="s">
        <v>366</v>
      </c>
      <c r="B372" s="3" t="s">
        <v>386</v>
      </c>
      <c r="C372" s="3" t="s">
        <v>313</v>
      </c>
      <c r="D372" s="4">
        <v>42370</v>
      </c>
      <c r="E372" s="3">
        <v>4</v>
      </c>
      <c r="F372" s="3">
        <v>0</v>
      </c>
      <c r="G372" s="9">
        <v>0</v>
      </c>
      <c r="H372" s="9">
        <v>11.04</v>
      </c>
      <c r="I372" s="22">
        <f t="shared" si="20"/>
        <v>2.76</v>
      </c>
      <c r="J372" s="22" t="str">
        <f t="shared" si="21"/>
        <v>High</v>
      </c>
      <c r="K372" s="24" t="str">
        <f t="shared" si="22"/>
        <v/>
      </c>
      <c r="L372" s="27" t="str">
        <f t="shared" si="23"/>
        <v>Untested</v>
      </c>
    </row>
    <row r="373" spans="1:12" x14ac:dyDescent="0.2">
      <c r="A373" s="3" t="s">
        <v>367</v>
      </c>
      <c r="B373" s="3" t="s">
        <v>386</v>
      </c>
      <c r="C373" s="3" t="s">
        <v>313</v>
      </c>
      <c r="D373" s="4">
        <v>42401</v>
      </c>
      <c r="E373" s="3">
        <v>76</v>
      </c>
      <c r="F373" s="3">
        <v>0</v>
      </c>
      <c r="G373" s="9">
        <v>0</v>
      </c>
      <c r="H373" s="9">
        <v>50.18</v>
      </c>
      <c r="I373" s="22">
        <f t="shared" si="20"/>
        <v>0.66026315789473689</v>
      </c>
      <c r="J373" s="22" t="str">
        <f t="shared" si="21"/>
        <v>Medium</v>
      </c>
      <c r="K373" s="24" t="str">
        <f t="shared" si="22"/>
        <v/>
      </c>
      <c r="L373" s="27" t="str">
        <f t="shared" si="23"/>
        <v>Untested</v>
      </c>
    </row>
    <row r="374" spans="1:12" x14ac:dyDescent="0.2">
      <c r="A374" s="3" t="s">
        <v>275</v>
      </c>
      <c r="B374" s="3" t="s">
        <v>22</v>
      </c>
      <c r="C374" s="3" t="s">
        <v>313</v>
      </c>
      <c r="D374" s="4">
        <v>42430</v>
      </c>
      <c r="E374" s="3">
        <v>2</v>
      </c>
      <c r="F374" s="3">
        <v>0</v>
      </c>
      <c r="G374" s="9">
        <v>0</v>
      </c>
      <c r="H374" s="9">
        <v>2.79</v>
      </c>
      <c r="I374" s="22">
        <f t="shared" si="20"/>
        <v>1.395</v>
      </c>
      <c r="J374" s="22" t="str">
        <f t="shared" si="21"/>
        <v>Medium</v>
      </c>
      <c r="K374" s="24" t="str">
        <f t="shared" si="22"/>
        <v/>
      </c>
      <c r="L374" s="27" t="str">
        <f t="shared" si="23"/>
        <v>Untested</v>
      </c>
    </row>
    <row r="375" spans="1:12" x14ac:dyDescent="0.2">
      <c r="A375" s="3" t="s">
        <v>289</v>
      </c>
      <c r="B375" s="3" t="s">
        <v>386</v>
      </c>
      <c r="C375" s="3" t="s">
        <v>313</v>
      </c>
      <c r="D375" s="4">
        <v>42370</v>
      </c>
      <c r="E375" s="3">
        <v>6</v>
      </c>
      <c r="F375" s="3">
        <v>0</v>
      </c>
      <c r="G375" s="9">
        <v>0</v>
      </c>
      <c r="H375" s="9">
        <v>5.32</v>
      </c>
      <c r="I375" s="22">
        <f t="shared" si="20"/>
        <v>0.88666666666666671</v>
      </c>
      <c r="J375" s="22" t="str">
        <f t="shared" si="21"/>
        <v>Medium</v>
      </c>
      <c r="K375" s="24" t="str">
        <f t="shared" si="22"/>
        <v/>
      </c>
      <c r="L375" s="27" t="str">
        <f t="shared" si="23"/>
        <v>Untested</v>
      </c>
    </row>
    <row r="376" spans="1:12" x14ac:dyDescent="0.2">
      <c r="A376" s="3" t="s">
        <v>249</v>
      </c>
      <c r="B376" s="3" t="s">
        <v>237</v>
      </c>
      <c r="C376" s="3" t="s">
        <v>313</v>
      </c>
      <c r="D376" s="4">
        <v>42401</v>
      </c>
      <c r="E376" s="3">
        <v>9</v>
      </c>
      <c r="F376" s="3">
        <v>0</v>
      </c>
      <c r="G376" s="9">
        <v>0</v>
      </c>
      <c r="H376" s="9">
        <v>6.42</v>
      </c>
      <c r="I376" s="22">
        <f t="shared" si="20"/>
        <v>0.71333333333333337</v>
      </c>
      <c r="J376" s="22" t="str">
        <f t="shared" si="21"/>
        <v>Medium</v>
      </c>
      <c r="K376" s="24" t="str">
        <f t="shared" si="22"/>
        <v/>
      </c>
      <c r="L376" s="27" t="str">
        <f t="shared" si="23"/>
        <v>Untested</v>
      </c>
    </row>
    <row r="377" spans="1:12" x14ac:dyDescent="0.2">
      <c r="A377" s="3" t="s">
        <v>264</v>
      </c>
      <c r="B377" s="3" t="s">
        <v>22</v>
      </c>
      <c r="C377" s="3" t="s">
        <v>313</v>
      </c>
      <c r="D377" s="4">
        <v>42430</v>
      </c>
      <c r="E377" s="3">
        <v>7</v>
      </c>
      <c r="F377" s="3">
        <v>0</v>
      </c>
      <c r="G377" s="9">
        <v>0</v>
      </c>
      <c r="H377" s="9">
        <v>14.9</v>
      </c>
      <c r="I377" s="22">
        <f t="shared" si="20"/>
        <v>2.1285714285714286</v>
      </c>
      <c r="J377" s="22" t="str">
        <f t="shared" si="21"/>
        <v>High</v>
      </c>
      <c r="K377" s="24" t="str">
        <f t="shared" si="22"/>
        <v/>
      </c>
      <c r="L377" s="27" t="str">
        <f t="shared" si="23"/>
        <v>Untested</v>
      </c>
    </row>
    <row r="378" spans="1:12" x14ac:dyDescent="0.2">
      <c r="A378" s="3" t="s">
        <v>270</v>
      </c>
      <c r="B378" s="3" t="s">
        <v>22</v>
      </c>
      <c r="C378" s="3" t="s">
        <v>313</v>
      </c>
      <c r="D378" s="4">
        <v>42401</v>
      </c>
      <c r="E378" s="3">
        <v>1</v>
      </c>
      <c r="F378" s="3">
        <v>0</v>
      </c>
      <c r="G378" s="9">
        <v>0</v>
      </c>
      <c r="H378" s="9">
        <v>7.49</v>
      </c>
      <c r="I378" s="22">
        <f t="shared" si="20"/>
        <v>7.49</v>
      </c>
      <c r="J378" s="22" t="str">
        <f t="shared" si="21"/>
        <v>High</v>
      </c>
      <c r="K378" s="24" t="str">
        <f t="shared" si="22"/>
        <v/>
      </c>
      <c r="L378" s="27" t="str">
        <f t="shared" si="23"/>
        <v>Untested</v>
      </c>
    </row>
    <row r="379" spans="1:12" x14ac:dyDescent="0.2">
      <c r="A379" s="3" t="s">
        <v>266</v>
      </c>
      <c r="B379" s="3" t="s">
        <v>386</v>
      </c>
      <c r="C379" s="3" t="s">
        <v>313</v>
      </c>
      <c r="D379" s="4">
        <v>42370</v>
      </c>
      <c r="E379" s="3">
        <v>5</v>
      </c>
      <c r="F379" s="3">
        <v>0</v>
      </c>
      <c r="G379" s="9">
        <v>0</v>
      </c>
      <c r="H379" s="9">
        <v>9.1300000000000008</v>
      </c>
      <c r="I379" s="22">
        <f t="shared" si="20"/>
        <v>1.8260000000000001</v>
      </c>
      <c r="J379" s="22" t="str">
        <f t="shared" si="21"/>
        <v>High</v>
      </c>
      <c r="K379" s="24" t="str">
        <f t="shared" si="22"/>
        <v/>
      </c>
      <c r="L379" s="27" t="str">
        <f t="shared" si="23"/>
        <v>Untested</v>
      </c>
    </row>
    <row r="380" spans="1:12" x14ac:dyDescent="0.2">
      <c r="A380" s="3" t="s">
        <v>345</v>
      </c>
      <c r="B380" s="3" t="s">
        <v>386</v>
      </c>
      <c r="C380" s="3" t="s">
        <v>313</v>
      </c>
      <c r="D380" s="4">
        <v>42401</v>
      </c>
      <c r="E380" s="3">
        <v>9</v>
      </c>
      <c r="F380" s="3">
        <v>0</v>
      </c>
      <c r="G380" s="9">
        <v>0</v>
      </c>
      <c r="H380" s="9">
        <v>9.67</v>
      </c>
      <c r="I380" s="22">
        <f t="shared" si="20"/>
        <v>1.0744444444444445</v>
      </c>
      <c r="J380" s="22" t="str">
        <f t="shared" si="21"/>
        <v>Medium</v>
      </c>
      <c r="K380" s="24" t="str">
        <f t="shared" si="22"/>
        <v/>
      </c>
      <c r="L380" s="27" t="str">
        <f t="shared" si="23"/>
        <v>Untested</v>
      </c>
    </row>
    <row r="381" spans="1:12" x14ac:dyDescent="0.2">
      <c r="A381" s="3" t="s">
        <v>269</v>
      </c>
      <c r="B381" s="3" t="s">
        <v>22</v>
      </c>
      <c r="C381" s="3" t="s">
        <v>313</v>
      </c>
      <c r="D381" s="4">
        <v>42370</v>
      </c>
      <c r="E381" s="3">
        <v>12</v>
      </c>
      <c r="F381" s="3">
        <v>0</v>
      </c>
      <c r="G381" s="9">
        <v>0</v>
      </c>
      <c r="H381" s="9">
        <v>10.28</v>
      </c>
      <c r="I381" s="22">
        <f t="shared" si="20"/>
        <v>0.85666666666666658</v>
      </c>
      <c r="J381" s="22" t="str">
        <f t="shared" si="21"/>
        <v>Medium</v>
      </c>
      <c r="K381" s="24" t="str">
        <f t="shared" si="22"/>
        <v/>
      </c>
      <c r="L381" s="27" t="str">
        <f t="shared" si="23"/>
        <v>Untested</v>
      </c>
    </row>
  </sheetData>
  <sortState ref="A2:I383">
    <sortCondition descending="1" ref="G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zoomScale="130" zoomScaleNormal="130" workbookViewId="0"/>
  </sheetViews>
  <sheetFormatPr baseColWidth="10" defaultRowHeight="16" x14ac:dyDescent="0.2"/>
  <cols>
    <col min="1" max="1" width="4.5" style="11" customWidth="1"/>
    <col min="2" max="2" width="10.83203125" style="11"/>
    <col min="3" max="10" width="8.83203125" style="11" customWidth="1"/>
    <col min="11" max="12" width="10.83203125" style="11"/>
    <col min="13" max="13" width="9.6640625" style="11" customWidth="1"/>
    <col min="14" max="14" width="10.83203125" style="11"/>
    <col min="15" max="15" width="24.1640625" style="11" customWidth="1"/>
    <col min="16" max="16384" width="10.83203125" style="11"/>
  </cols>
  <sheetData>
    <row r="1" spans="1:15" x14ac:dyDescent="0.2">
      <c r="C1" s="16" t="s">
        <v>402</v>
      </c>
    </row>
    <row r="2" spans="1:15" x14ac:dyDescent="0.2">
      <c r="C2" s="11" t="s">
        <v>382</v>
      </c>
    </row>
    <row r="3" spans="1:15" x14ac:dyDescent="0.2">
      <c r="C3" s="14" t="s">
        <v>341</v>
      </c>
      <c r="D3" s="14" t="s">
        <v>384</v>
      </c>
      <c r="E3" s="14" t="s">
        <v>383</v>
      </c>
      <c r="F3" s="14" t="s">
        <v>387</v>
      </c>
      <c r="G3" s="14" t="s">
        <v>340</v>
      </c>
      <c r="H3" s="14" t="s">
        <v>364</v>
      </c>
      <c r="I3" s="14" t="s">
        <v>313</v>
      </c>
      <c r="J3" s="14" t="s">
        <v>400</v>
      </c>
      <c r="L3" s="17" t="s">
        <v>382</v>
      </c>
      <c r="M3" s="18" t="s">
        <v>22</v>
      </c>
      <c r="N3" s="18" t="s">
        <v>400</v>
      </c>
      <c r="O3" s="18" t="s">
        <v>403</v>
      </c>
    </row>
    <row r="4" spans="1:15" ht="16" customHeight="1" x14ac:dyDescent="0.2">
      <c r="A4" s="49" t="s">
        <v>401</v>
      </c>
      <c r="B4" s="12" t="s">
        <v>385</v>
      </c>
      <c r="C4" s="13"/>
      <c r="D4" s="13"/>
      <c r="E4" s="13">
        <v>416</v>
      </c>
      <c r="F4" s="13"/>
      <c r="G4" s="13"/>
      <c r="H4" s="13">
        <v>321</v>
      </c>
      <c r="I4" s="13"/>
      <c r="J4" s="15">
        <v>737</v>
      </c>
      <c r="L4" s="11" t="s">
        <v>341</v>
      </c>
      <c r="M4" s="19">
        <f>HLOOKUP(L4,$B$3:$J$9,4,FALSE)</f>
        <v>0</v>
      </c>
      <c r="N4" s="20">
        <f>HLOOKUP(L4,$B$3:$J$9,7,FALSE)</f>
        <v>2772</v>
      </c>
      <c r="O4" s="21">
        <f>M4/N4</f>
        <v>0</v>
      </c>
    </row>
    <row r="5" spans="1:15" x14ac:dyDescent="0.2">
      <c r="A5" s="49"/>
      <c r="B5" s="12" t="s">
        <v>237</v>
      </c>
      <c r="C5" s="13"/>
      <c r="D5" s="13">
        <v>54</v>
      </c>
      <c r="E5" s="13">
        <v>2987</v>
      </c>
      <c r="F5" s="13">
        <v>405</v>
      </c>
      <c r="G5" s="13">
        <v>136</v>
      </c>
      <c r="H5" s="13"/>
      <c r="I5" s="13">
        <v>5123</v>
      </c>
      <c r="J5" s="15">
        <v>8705</v>
      </c>
      <c r="L5" s="11" t="s">
        <v>384</v>
      </c>
      <c r="M5" s="19">
        <f t="shared" ref="M5:M10" si="0">HLOOKUP(L5,$B$3:$J$9,4,FALSE)</f>
        <v>15</v>
      </c>
      <c r="N5" s="20">
        <f t="shared" ref="N5:N10" si="1">HLOOKUP(L5,$B$3:$J$9,7,FALSE)</f>
        <v>5262</v>
      </c>
      <c r="O5" s="21">
        <f t="shared" ref="O5:O10" si="2">M5/N5</f>
        <v>2.8506271379703536E-3</v>
      </c>
    </row>
    <row r="6" spans="1:15" ht="17" customHeight="1" x14ac:dyDescent="0.2">
      <c r="A6" s="49"/>
      <c r="B6" s="12" t="s">
        <v>22</v>
      </c>
      <c r="C6" s="13"/>
      <c r="D6" s="13">
        <v>15</v>
      </c>
      <c r="E6" s="13">
        <v>2036</v>
      </c>
      <c r="F6" s="13"/>
      <c r="G6" s="13">
        <v>110</v>
      </c>
      <c r="H6" s="13"/>
      <c r="I6" s="13">
        <v>3624</v>
      </c>
      <c r="J6" s="15">
        <v>5785</v>
      </c>
      <c r="L6" s="11" t="s">
        <v>340</v>
      </c>
      <c r="M6" s="19">
        <f t="shared" si="0"/>
        <v>110</v>
      </c>
      <c r="N6" s="20">
        <f t="shared" si="1"/>
        <v>324</v>
      </c>
      <c r="O6" s="21">
        <f t="shared" si="2"/>
        <v>0.33950617283950618</v>
      </c>
    </row>
    <row r="7" spans="1:15" x14ac:dyDescent="0.2">
      <c r="A7" s="49"/>
      <c r="B7" s="12" t="s">
        <v>388</v>
      </c>
      <c r="C7" s="13"/>
      <c r="D7" s="13">
        <v>86</v>
      </c>
      <c r="E7" s="13"/>
      <c r="F7" s="13"/>
      <c r="G7" s="13"/>
      <c r="H7" s="13"/>
      <c r="I7" s="13">
        <v>13</v>
      </c>
      <c r="J7" s="15">
        <v>99</v>
      </c>
      <c r="L7" s="11" t="s">
        <v>313</v>
      </c>
      <c r="M7" s="19">
        <f t="shared" si="0"/>
        <v>3624</v>
      </c>
      <c r="N7" s="20">
        <f t="shared" si="1"/>
        <v>11481</v>
      </c>
      <c r="O7" s="21">
        <f t="shared" si="2"/>
        <v>0.31565194669453878</v>
      </c>
    </row>
    <row r="8" spans="1:15" ht="16" customHeight="1" x14ac:dyDescent="0.2">
      <c r="A8" s="49"/>
      <c r="B8" s="12" t="s">
        <v>386</v>
      </c>
      <c r="C8" s="13">
        <v>2772</v>
      </c>
      <c r="D8" s="13">
        <v>5107</v>
      </c>
      <c r="E8" s="13">
        <v>288</v>
      </c>
      <c r="F8" s="13">
        <v>151</v>
      </c>
      <c r="G8" s="13">
        <v>78</v>
      </c>
      <c r="H8" s="13"/>
      <c r="I8" s="13">
        <v>2721</v>
      </c>
      <c r="J8" s="15">
        <v>11117</v>
      </c>
      <c r="L8" s="11" t="s">
        <v>387</v>
      </c>
      <c r="M8" s="19">
        <f t="shared" si="0"/>
        <v>0</v>
      </c>
      <c r="N8" s="20">
        <f t="shared" si="1"/>
        <v>556</v>
      </c>
      <c r="O8" s="21">
        <f t="shared" si="2"/>
        <v>0</v>
      </c>
    </row>
    <row r="9" spans="1:15" x14ac:dyDescent="0.2">
      <c r="A9" s="49"/>
      <c r="B9" s="12" t="s">
        <v>400</v>
      </c>
      <c r="C9" s="15">
        <v>2772</v>
      </c>
      <c r="D9" s="15">
        <v>5262</v>
      </c>
      <c r="E9" s="15">
        <v>5727</v>
      </c>
      <c r="F9" s="15">
        <v>556</v>
      </c>
      <c r="G9" s="15">
        <v>324</v>
      </c>
      <c r="H9" s="15">
        <v>321</v>
      </c>
      <c r="I9" s="15">
        <v>11481</v>
      </c>
      <c r="J9" s="15">
        <v>26443</v>
      </c>
      <c r="L9" s="11" t="s">
        <v>383</v>
      </c>
      <c r="M9" s="19">
        <f t="shared" si="0"/>
        <v>2036</v>
      </c>
      <c r="N9" s="20">
        <f t="shared" si="1"/>
        <v>5727</v>
      </c>
      <c r="O9" s="21">
        <f t="shared" si="2"/>
        <v>0.35550899249170598</v>
      </c>
    </row>
    <row r="10" spans="1:15" x14ac:dyDescent="0.2">
      <c r="L10" s="11" t="s">
        <v>364</v>
      </c>
      <c r="M10" s="19">
        <f t="shared" si="0"/>
        <v>0</v>
      </c>
      <c r="N10" s="20">
        <f t="shared" si="1"/>
        <v>321</v>
      </c>
      <c r="O10" s="21">
        <f t="shared" si="2"/>
        <v>0</v>
      </c>
    </row>
  </sheetData>
  <mergeCells count="1">
    <mergeCell ref="A4:A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zoomScale="130" zoomScaleNormal="130" workbookViewId="0">
      <selection activeCell="A2" sqref="A2"/>
    </sheetView>
  </sheetViews>
  <sheetFormatPr baseColWidth="10" defaultRowHeight="15" x14ac:dyDescent="0.2"/>
  <cols>
    <col min="1" max="1" width="15.6640625" customWidth="1"/>
    <col min="2" max="2" width="4.33203125" customWidth="1"/>
    <col min="3" max="3" width="16.1640625" customWidth="1"/>
  </cols>
  <sheetData>
    <row r="1" spans="1:3" ht="16" x14ac:dyDescent="0.2">
      <c r="A1" s="47" t="s">
        <v>412</v>
      </c>
      <c r="B1" s="48"/>
      <c r="C1" s="47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marketing_perf</vt:lpstr>
      <vt:lpstr>signups</vt:lpstr>
      <vt:lpstr>misc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Fishman</dc:creator>
  <cp:lastModifiedBy>Microsoft Office User</cp:lastModifiedBy>
  <dcterms:created xsi:type="dcterms:W3CDTF">2011-03-09T05:01:36Z</dcterms:created>
  <dcterms:modified xsi:type="dcterms:W3CDTF">2017-10-18T08:55:22Z</dcterms:modified>
</cp:coreProperties>
</file>