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4. EXCEL  SECTION - Basic Formulas and Functions/"/>
    </mc:Choice>
  </mc:AlternateContent>
  <xr:revisionPtr revIDLastSave="0" documentId="13_ncr:1_{302C7EF3-4B1F-5B47-A84A-FCCDA184ED46}" xr6:coauthVersionLast="47" xr6:coauthVersionMax="47" xr10:uidLastSave="{00000000-0000-0000-0000-000000000000}"/>
  <bookViews>
    <workbookView xWindow="15140" yWindow="680" windowWidth="15120" windowHeight="18980" tabRatio="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18" i="1" l="1"/>
  <c r="N18" i="1"/>
  <c r="N17" i="1"/>
  <c r="O17" i="1" s="1"/>
  <c r="N10" i="1"/>
  <c r="N1" i="1"/>
  <c r="N9" i="1" s="1"/>
  <c r="J21" i="1"/>
  <c r="K21" i="1"/>
  <c r="I21" i="1"/>
  <c r="I16" i="1"/>
  <c r="I17" i="1"/>
  <c r="I15" i="1"/>
  <c r="J8" i="1"/>
  <c r="J9" i="1"/>
  <c r="J7" i="1"/>
  <c r="J10" i="1" s="1"/>
  <c r="I8" i="1"/>
  <c r="I9" i="1"/>
  <c r="I7" i="1"/>
  <c r="I10" i="1" s="1"/>
  <c r="I3" i="1"/>
  <c r="F3" i="1"/>
  <c r="I22" i="1" s="1"/>
  <c r="F4" i="1"/>
  <c r="K22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N14" i="1" l="1"/>
  <c r="N12" i="1"/>
  <c r="K9" i="1"/>
  <c r="K7" i="1"/>
  <c r="N2" i="1"/>
  <c r="J22" i="1"/>
  <c r="J17" i="1"/>
  <c r="J16" i="1"/>
  <c r="J15" i="1"/>
  <c r="I1" i="1"/>
  <c r="I4" i="1"/>
  <c r="K8" i="1"/>
  <c r="K10" i="1" l="1"/>
</calcChain>
</file>

<file path=xl/sharedStrings.xml><?xml version="1.0" encoding="utf-8"?>
<sst xmlns="http://schemas.openxmlformats.org/spreadsheetml/2006/main" count="90" uniqueCount="56">
  <si>
    <t>Customer ID</t>
  </si>
  <si>
    <t>Product Type</t>
  </si>
  <si>
    <t>Quantity</t>
  </si>
  <si>
    <t>iPhone 8s</t>
  </si>
  <si>
    <t>iPhone 8</t>
  </si>
  <si>
    <t>iPhone X</t>
  </si>
  <si>
    <t>Unit Price</t>
  </si>
  <si>
    <t># of orders</t>
  </si>
  <si>
    <t># of customers</t>
  </si>
  <si>
    <t>Total Cases Ordered</t>
  </si>
  <si>
    <t>Quantity Ordered</t>
  </si>
  <si>
    <t>Order ID</t>
  </si>
  <si>
    <t># of Orders</t>
  </si>
  <si>
    <t>Check</t>
  </si>
  <si>
    <t>Order Value</t>
  </si>
  <si>
    <t>Total Order Value</t>
  </si>
  <si>
    <t>Over Value</t>
  </si>
  <si>
    <t>Min</t>
  </si>
  <si>
    <t>Max</t>
  </si>
  <si>
    <t>Average</t>
  </si>
  <si>
    <t>Average Order Quantity</t>
  </si>
  <si>
    <t>Average Order Value</t>
  </si>
  <si>
    <t>Min Order Value?</t>
  </si>
  <si>
    <t>Max Order Value?</t>
  </si>
  <si>
    <t>Actual Total Order Quantity</t>
  </si>
  <si>
    <t>Logical Functions</t>
  </si>
  <si>
    <t>Actual Total Order Value</t>
  </si>
  <si>
    <t>IF()</t>
  </si>
  <si>
    <t>Performs a logical test and returns a value if TRUE, and a different value if FALSE</t>
  </si>
  <si>
    <t>AND()</t>
  </si>
  <si>
    <t>Returns TRUE if and ONLY IF ALL logical tests return TRUE</t>
  </si>
  <si>
    <t>Target Total Order Quantity</t>
  </si>
  <si>
    <t>OR()</t>
  </si>
  <si>
    <t>Returns TRUE if AT LEAST ONE logical test returns TRUE</t>
  </si>
  <si>
    <t>Target Total Order Value</t>
  </si>
  <si>
    <t>Logical Operaters</t>
  </si>
  <si>
    <t>Objectives Achieved?</t>
  </si>
  <si>
    <t>=</t>
  </si>
  <si>
    <t>Returns TRUE if values of conditions are equal</t>
  </si>
  <si>
    <t>Target Order Quantity Achieved?</t>
  </si>
  <si>
    <t>&lt;&gt;</t>
  </si>
  <si>
    <t>Returns TRUE if values of conditions are NOT equal</t>
  </si>
  <si>
    <t>Target Order Value Achieved?</t>
  </si>
  <si>
    <t>&gt;</t>
  </si>
  <si>
    <t>Returns TRUE if the value of left condition is GREATER THAN the value of right condition</t>
  </si>
  <si>
    <t>&gt;=</t>
  </si>
  <si>
    <t>Returns TRUE if the value of left condition is GREATER THAN OR EQUAL TO the value of right condition</t>
  </si>
  <si>
    <t>Both Objectives Achieved?</t>
  </si>
  <si>
    <t>&lt;</t>
  </si>
  <si>
    <t>Returns TRUE if the value of left condition is LESS THAN the value of right condition</t>
  </si>
  <si>
    <t>&lt;=</t>
  </si>
  <si>
    <t>Returns TRUE if the value of left condition is LESS THAN OR EQUAL TO the value of right condition</t>
  </si>
  <si>
    <t>At Least One Objective Achieved?</t>
  </si>
  <si>
    <t>Actual versus Target</t>
  </si>
  <si>
    <t>Actual Total Order Quantity Was</t>
  </si>
  <si>
    <t>Actual Total Order Value 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</si>
</sst>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333333"/>
      <name val="Calibri"/>
      <family val="2"/>
      <scheme val="minor"/>
    </font>
    <font>
      <b/>
      <sz val="12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62626"/>
        <bgColor rgb="FF000000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0" fontId="0" fillId="3" borderId="1" xfId="0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44" fontId="0" fillId="0" borderId="1" xfId="1" applyFont="1" applyBorder="1" applyAlignment="1">
      <alignment horizontal="right"/>
    </xf>
    <xf numFmtId="5" fontId="0" fillId="3" borderId="1" xfId="0" applyNumberFormat="1" applyFill="1" applyBorder="1" applyAlignment="1">
      <alignment horizontal="right"/>
    </xf>
    <xf numFmtId="5" fontId="0" fillId="3" borderId="1" xfId="1" applyNumberFormat="1" applyFont="1" applyFill="1" applyBorder="1" applyAlignment="1">
      <alignment horizontal="right"/>
    </xf>
    <xf numFmtId="7" fontId="0" fillId="3" borderId="1" xfId="0" applyNumberFormat="1" applyFill="1" applyBorder="1" applyAlignment="1">
      <alignment horizontal="left"/>
    </xf>
    <xf numFmtId="1" fontId="0" fillId="3" borderId="2" xfId="0" applyNumberFormat="1" applyFill="1" applyBorder="1" applyAlignment="1">
      <alignment horizontal="right"/>
    </xf>
    <xf numFmtId="5" fontId="0" fillId="3" borderId="2" xfId="0" applyNumberFormat="1" applyFill="1" applyBorder="1" applyAlignment="1">
      <alignment horizontal="right"/>
    </xf>
    <xf numFmtId="5" fontId="0" fillId="3" borderId="2" xfId="1" applyNumberFormat="1" applyFont="1" applyFill="1" applyBorder="1" applyAlignment="1">
      <alignment horizontal="right"/>
    </xf>
    <xf numFmtId="0" fontId="5" fillId="4" borderId="0" xfId="0" applyFont="1" applyFill="1"/>
    <xf numFmtId="0" fontId="6" fillId="0" borderId="0" xfId="0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right" indent="1"/>
    </xf>
    <xf numFmtId="0" fontId="8" fillId="0" borderId="0" xfId="0" applyFont="1"/>
    <xf numFmtId="0" fontId="0" fillId="3" borderId="0" xfId="0" applyFill="1" applyAlignment="1">
      <alignment horizontal="right"/>
    </xf>
    <xf numFmtId="164" fontId="0" fillId="3" borderId="0" xfId="1" applyNumberFormat="1" applyFont="1" applyFill="1" applyAlignment="1">
      <alignment horizontal="right"/>
    </xf>
    <xf numFmtId="0" fontId="6" fillId="0" borderId="0" xfId="0" applyFont="1" applyAlignment="1">
      <alignment horizontal="right"/>
    </xf>
    <xf numFmtId="0" fontId="9" fillId="0" borderId="0" xfId="0" applyFont="1" applyAlignment="1">
      <alignment horizontal="right" indent="1"/>
    </xf>
    <xf numFmtId="0" fontId="0" fillId="5" borderId="0" xfId="0" applyFill="1" applyAlignment="1">
      <alignment horizontal="right"/>
    </xf>
    <xf numFmtId="0" fontId="0" fillId="3" borderId="0" xfId="0" applyFill="1" applyAlignment="1">
      <alignment horizontal="left" indent="1"/>
    </xf>
    <xf numFmtId="164" fontId="0" fillId="3" borderId="0" xfId="0" applyNumberFormat="1" applyFill="1" applyAlignment="1">
      <alignment horizontal="right"/>
    </xf>
    <xf numFmtId="3" fontId="0" fillId="3" borderId="0" xfId="0" applyNumberFormat="1" applyFill="1" applyAlignment="1">
      <alignment horizontal="right"/>
    </xf>
  </cellXfs>
  <cellStyles count="6">
    <cellStyle name="Currency" xfId="1" builtinId="4"/>
    <cellStyle name="Followed Hyperlink" xfId="3" builtinId="9" hidden="1"/>
    <cellStyle name="Followed Hyperlink" xfId="5" builtinId="9" hidden="1"/>
    <cellStyle name="Hyperlink" xfId="2" builtinId="8" hidden="1"/>
    <cellStyle name="Hyperlink" xfId="4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5"/>
  <sheetViews>
    <sheetView tabSelected="1" topLeftCell="K1" zoomScale="125" zoomScaleNormal="150" workbookViewId="0">
      <selection activeCell="O18" sqref="O18"/>
    </sheetView>
  </sheetViews>
  <sheetFormatPr baseColWidth="10" defaultRowHeight="16" x14ac:dyDescent="0.2"/>
  <cols>
    <col min="1" max="1" width="8.33203125" style="1" bestFit="1" customWidth="1"/>
    <col min="2" max="2" width="11.1640625" style="1" bestFit="1" customWidth="1"/>
    <col min="3" max="3" width="12" style="1" bestFit="1" customWidth="1"/>
    <col min="4" max="4" width="15" style="2" customWidth="1"/>
    <col min="5" max="5" width="8.1640625" style="1" bestFit="1" customWidth="1"/>
    <col min="6" max="6" width="11.33203125" style="1" bestFit="1" customWidth="1"/>
    <col min="7" max="7" width="5.33203125" customWidth="1"/>
    <col min="8" max="8" width="20.6640625" bestFit="1" customWidth="1"/>
    <col min="9" max="9" width="15.33203125" bestFit="1" customWidth="1"/>
    <col min="10" max="10" width="15.5" bestFit="1" customWidth="1"/>
    <col min="13" max="13" width="29.1640625" bestFit="1" customWidth="1"/>
    <col min="14" max="14" width="13" bestFit="1" customWidth="1"/>
    <col min="15" max="15" width="17.33203125" bestFit="1" customWidth="1"/>
    <col min="16" max="16" width="7.83203125" bestFit="1" customWidth="1"/>
    <col min="17" max="17" width="87.83203125" bestFit="1" customWidth="1"/>
  </cols>
  <sheetData>
    <row r="1" spans="1:20" x14ac:dyDescent="0.2">
      <c r="A1" s="5" t="s">
        <v>11</v>
      </c>
      <c r="B1" s="5" t="s">
        <v>0</v>
      </c>
      <c r="C1" s="5" t="s">
        <v>1</v>
      </c>
      <c r="D1" s="6" t="s">
        <v>6</v>
      </c>
      <c r="E1" s="5" t="s">
        <v>2</v>
      </c>
      <c r="F1" s="5" t="s">
        <v>14</v>
      </c>
      <c r="H1" s="3" t="s">
        <v>7</v>
      </c>
      <c r="I1" s="4">
        <f>COUNT(F2:F30)</f>
        <v>29</v>
      </c>
      <c r="J1" s="2"/>
      <c r="K1" s="1"/>
      <c r="M1" s="3" t="s">
        <v>24</v>
      </c>
      <c r="N1" s="2">
        <f>SUM(E2:E30)</f>
        <v>14870</v>
      </c>
      <c r="O1" s="1"/>
      <c r="Q1" s="15" t="s">
        <v>25</v>
      </c>
      <c r="R1" s="16"/>
      <c r="S1" s="17"/>
      <c r="T1" s="17"/>
    </row>
    <row r="2" spans="1:20" x14ac:dyDescent="0.2">
      <c r="A2" s="7">
        <v>2222686</v>
      </c>
      <c r="B2" s="7">
        <v>36</v>
      </c>
      <c r="C2" s="7" t="s">
        <v>3</v>
      </c>
      <c r="D2" s="8">
        <v>2.5</v>
      </c>
      <c r="E2" s="7">
        <v>480</v>
      </c>
      <c r="F2" s="11">
        <f>D2*E2</f>
        <v>1200</v>
      </c>
      <c r="H2" s="1"/>
      <c r="I2" s="2"/>
      <c r="J2" s="2"/>
      <c r="K2" s="1"/>
      <c r="M2" s="3" t="s">
        <v>26</v>
      </c>
      <c r="N2" s="18">
        <f>SUM(F2:F30)</f>
        <v>32515</v>
      </c>
      <c r="O2" s="1"/>
      <c r="P2" s="19" t="s">
        <v>27</v>
      </c>
      <c r="Q2" s="20" t="s">
        <v>28</v>
      </c>
      <c r="R2" s="20"/>
      <c r="S2" s="20"/>
      <c r="T2" s="20"/>
    </row>
    <row r="3" spans="1:20" x14ac:dyDescent="0.2">
      <c r="A3" s="7">
        <v>9137942</v>
      </c>
      <c r="B3" s="7">
        <v>50</v>
      </c>
      <c r="C3" s="7" t="s">
        <v>4</v>
      </c>
      <c r="D3" s="8">
        <v>1.5</v>
      </c>
      <c r="E3" s="7">
        <v>610</v>
      </c>
      <c r="F3" s="11">
        <f t="shared" ref="F3:F30" si="0">D3*E3</f>
        <v>915</v>
      </c>
      <c r="H3" s="3" t="s">
        <v>9</v>
      </c>
      <c r="I3" s="4">
        <f>SUM(E2:E30)</f>
        <v>14870</v>
      </c>
      <c r="J3" s="2"/>
      <c r="K3" s="1"/>
      <c r="M3" s="1"/>
      <c r="N3" s="2"/>
      <c r="O3" s="1"/>
      <c r="P3" s="19" t="s">
        <v>29</v>
      </c>
      <c r="Q3" s="20" t="s">
        <v>30</v>
      </c>
      <c r="R3" s="20"/>
      <c r="S3" s="20"/>
      <c r="T3" s="20"/>
    </row>
    <row r="4" spans="1:20" x14ac:dyDescent="0.2">
      <c r="A4" s="7">
        <v>2591591</v>
      </c>
      <c r="B4" s="7">
        <v>70</v>
      </c>
      <c r="C4" s="7" t="s">
        <v>5</v>
      </c>
      <c r="D4" s="8">
        <v>3</v>
      </c>
      <c r="E4" s="7">
        <v>490</v>
      </c>
      <c r="F4" s="11">
        <f t="shared" si="0"/>
        <v>1470</v>
      </c>
      <c r="H4" s="3" t="s">
        <v>15</v>
      </c>
      <c r="I4" s="9">
        <f>SUM(F2:F30)</f>
        <v>32515</v>
      </c>
      <c r="J4" s="2"/>
      <c r="K4" s="1"/>
      <c r="M4" s="3" t="s">
        <v>31</v>
      </c>
      <c r="N4" s="28">
        <v>12500</v>
      </c>
      <c r="O4" s="1"/>
      <c r="P4" s="19" t="s">
        <v>32</v>
      </c>
      <c r="Q4" s="20" t="s">
        <v>33</v>
      </c>
      <c r="R4" s="20"/>
      <c r="S4" s="20"/>
      <c r="T4" s="20"/>
    </row>
    <row r="5" spans="1:20" x14ac:dyDescent="0.2">
      <c r="A5" s="7">
        <v>5727287</v>
      </c>
      <c r="B5" s="7">
        <v>23</v>
      </c>
      <c r="C5" s="7" t="s">
        <v>5</v>
      </c>
      <c r="D5" s="8">
        <v>3</v>
      </c>
      <c r="E5" s="7">
        <v>530</v>
      </c>
      <c r="F5" s="11">
        <f t="shared" si="0"/>
        <v>1590</v>
      </c>
      <c r="H5" s="2"/>
      <c r="I5" s="1"/>
      <c r="J5" s="2"/>
      <c r="K5" s="1"/>
      <c r="M5" s="3" t="s">
        <v>34</v>
      </c>
      <c r="N5" s="22">
        <v>25000</v>
      </c>
      <c r="O5" s="1"/>
      <c r="P5" s="16"/>
      <c r="Q5" s="20"/>
      <c r="R5" s="16"/>
      <c r="S5" s="17"/>
      <c r="T5" s="17"/>
    </row>
    <row r="6" spans="1:20" x14ac:dyDescent="0.2">
      <c r="A6" s="7">
        <v>6696095</v>
      </c>
      <c r="B6" s="7">
        <v>80</v>
      </c>
      <c r="C6" s="7" t="s">
        <v>4</v>
      </c>
      <c r="D6" s="8">
        <v>1.5</v>
      </c>
      <c r="E6" s="7">
        <v>520</v>
      </c>
      <c r="F6" s="11">
        <f t="shared" si="0"/>
        <v>780</v>
      </c>
      <c r="H6" s="1"/>
      <c r="I6" s="3" t="s">
        <v>12</v>
      </c>
      <c r="J6" s="3" t="s">
        <v>10</v>
      </c>
      <c r="K6" s="3" t="s">
        <v>14</v>
      </c>
      <c r="M6" s="1"/>
      <c r="N6" s="2"/>
      <c r="O6" s="1"/>
      <c r="P6" s="20"/>
      <c r="Q6" s="23"/>
      <c r="R6" s="16"/>
      <c r="S6" s="17"/>
      <c r="T6" s="17"/>
    </row>
    <row r="7" spans="1:20" x14ac:dyDescent="0.2">
      <c r="A7" s="7">
        <v>2071811</v>
      </c>
      <c r="B7" s="7">
        <v>39</v>
      </c>
      <c r="C7" s="7" t="s">
        <v>5</v>
      </c>
      <c r="D7" s="8">
        <v>3</v>
      </c>
      <c r="E7" s="7">
        <v>400</v>
      </c>
      <c r="F7" s="11">
        <f t="shared" si="0"/>
        <v>1200</v>
      </c>
      <c r="H7" s="3" t="s">
        <v>4</v>
      </c>
      <c r="I7" s="4">
        <f>COUNTIF($C$2:$C$30, H7)</f>
        <v>13</v>
      </c>
      <c r="J7" s="4">
        <f>SUMIF($C$2:$C$30, H7, $E$2:$E$30)</f>
        <v>7330</v>
      </c>
      <c r="K7" s="10">
        <f>SUMIF($C$2:$C$30, H7, $F$2:$F$30)</f>
        <v>10995</v>
      </c>
      <c r="M7" s="1"/>
      <c r="N7" s="2"/>
      <c r="O7" s="1"/>
      <c r="Q7" s="15" t="s">
        <v>35</v>
      </c>
      <c r="R7" s="16"/>
      <c r="S7" s="17"/>
      <c r="T7" s="17"/>
    </row>
    <row r="8" spans="1:20" x14ac:dyDescent="0.2">
      <c r="A8" s="7">
        <v>1681422</v>
      </c>
      <c r="B8" s="7">
        <v>18</v>
      </c>
      <c r="C8" s="7" t="s">
        <v>3</v>
      </c>
      <c r="D8" s="8">
        <v>2.5</v>
      </c>
      <c r="E8" s="7">
        <v>240</v>
      </c>
      <c r="F8" s="11">
        <f t="shared" si="0"/>
        <v>600</v>
      </c>
      <c r="H8" s="3" t="s">
        <v>3</v>
      </c>
      <c r="I8" s="4">
        <f t="shared" ref="I8:I9" si="1">COUNTIF($C$2:$C$30, H8)</f>
        <v>6</v>
      </c>
      <c r="J8" s="4">
        <f t="shared" ref="J8:J9" si="2">SUMIF($C$2:$C$30, H8, $E$2:$E$30)</f>
        <v>2200</v>
      </c>
      <c r="K8" s="10">
        <f t="shared" ref="K8:K9" si="3">SUMIF($C$2:$C$30, H8, $F$2:$F$30)</f>
        <v>5500</v>
      </c>
      <c r="M8" s="3" t="s">
        <v>36</v>
      </c>
      <c r="N8" s="2"/>
      <c r="O8" s="1"/>
      <c r="P8" s="24" t="s">
        <v>37</v>
      </c>
      <c r="Q8" s="16" t="s">
        <v>38</v>
      </c>
      <c r="R8" s="16"/>
      <c r="S8" s="16"/>
      <c r="T8" s="16"/>
    </row>
    <row r="9" spans="1:20" x14ac:dyDescent="0.2">
      <c r="A9" s="7">
        <v>7923665</v>
      </c>
      <c r="B9" s="7">
        <v>28</v>
      </c>
      <c r="C9" s="7" t="s">
        <v>5</v>
      </c>
      <c r="D9" s="8">
        <v>3</v>
      </c>
      <c r="E9" s="7">
        <v>770</v>
      </c>
      <c r="F9" s="11">
        <f t="shared" si="0"/>
        <v>2310</v>
      </c>
      <c r="H9" s="3" t="s">
        <v>5</v>
      </c>
      <c r="I9" s="4">
        <f t="shared" si="1"/>
        <v>10</v>
      </c>
      <c r="J9" s="4">
        <f t="shared" si="2"/>
        <v>5340</v>
      </c>
      <c r="K9" s="10">
        <f t="shared" si="3"/>
        <v>16020</v>
      </c>
      <c r="M9" s="25" t="s">
        <v>39</v>
      </c>
      <c r="N9" s="21" t="b">
        <f>IF(N1&gt;=N4, TRUE,FALSE)</f>
        <v>1</v>
      </c>
      <c r="O9" s="1"/>
      <c r="P9" s="24" t="s">
        <v>40</v>
      </c>
      <c r="Q9" s="16" t="s">
        <v>41</v>
      </c>
      <c r="R9" s="16"/>
      <c r="S9" s="16"/>
      <c r="T9" s="16"/>
    </row>
    <row r="10" spans="1:20" x14ac:dyDescent="0.2">
      <c r="A10" s="7">
        <v>6495990</v>
      </c>
      <c r="B10" s="7">
        <v>66</v>
      </c>
      <c r="C10" s="7" t="s">
        <v>3</v>
      </c>
      <c r="D10" s="8">
        <v>2.5</v>
      </c>
      <c r="E10" s="7">
        <v>120</v>
      </c>
      <c r="F10" s="11">
        <f t="shared" si="0"/>
        <v>300</v>
      </c>
      <c r="H10" s="2" t="s">
        <v>13</v>
      </c>
      <c r="I10" s="4">
        <f>SUM(I7:I9)</f>
        <v>29</v>
      </c>
      <c r="J10" s="4">
        <f>SUM(J7:J9)</f>
        <v>14870</v>
      </c>
      <c r="K10" s="9">
        <f>SUM(K7:K9)</f>
        <v>32515</v>
      </c>
      <c r="M10" s="25" t="s">
        <v>42</v>
      </c>
      <c r="N10" s="21" t="b">
        <f>IF(N2&gt;=N5, TRUE, FALSE)</f>
        <v>1</v>
      </c>
      <c r="O10" s="1"/>
      <c r="P10" s="24" t="s">
        <v>43</v>
      </c>
      <c r="Q10" s="16" t="s">
        <v>44</v>
      </c>
      <c r="R10" s="16"/>
      <c r="S10" s="16"/>
      <c r="T10" s="16"/>
    </row>
    <row r="11" spans="1:20" x14ac:dyDescent="0.2">
      <c r="A11" s="7">
        <v>2884971</v>
      </c>
      <c r="B11" s="7">
        <v>76</v>
      </c>
      <c r="C11" s="7" t="s">
        <v>4</v>
      </c>
      <c r="D11" s="8">
        <v>1.5</v>
      </c>
      <c r="E11" s="7">
        <v>260</v>
      </c>
      <c r="F11" s="11">
        <f t="shared" si="0"/>
        <v>390</v>
      </c>
      <c r="H11" s="1"/>
      <c r="I11" s="2"/>
      <c r="J11" s="1"/>
      <c r="K11" s="1"/>
      <c r="M11" s="1"/>
      <c r="N11" s="2"/>
      <c r="O11" s="1"/>
      <c r="P11" s="24" t="s">
        <v>45</v>
      </c>
      <c r="Q11" s="16" t="s">
        <v>46</v>
      </c>
      <c r="R11" s="16"/>
      <c r="S11" s="16"/>
      <c r="T11" s="16"/>
    </row>
    <row r="12" spans="1:20" x14ac:dyDescent="0.2">
      <c r="A12" s="7">
        <v>3104248</v>
      </c>
      <c r="B12" s="7">
        <v>76</v>
      </c>
      <c r="C12" s="7" t="s">
        <v>4</v>
      </c>
      <c r="D12" s="8">
        <v>1.5</v>
      </c>
      <c r="E12" s="7">
        <v>380</v>
      </c>
      <c r="F12" s="11">
        <f t="shared" si="0"/>
        <v>570</v>
      </c>
      <c r="H12" s="3" t="s">
        <v>8</v>
      </c>
      <c r="I12" s="4"/>
      <c r="J12" s="2"/>
      <c r="K12" s="1"/>
      <c r="M12" s="25" t="s">
        <v>47</v>
      </c>
      <c r="N12" s="21" t="b">
        <f>IF(AND(N9, N10), TRUE, FALSE)</f>
        <v>1</v>
      </c>
      <c r="O12" s="1"/>
      <c r="P12" s="24" t="s">
        <v>48</v>
      </c>
      <c r="Q12" s="16" t="s">
        <v>49</v>
      </c>
      <c r="R12" s="16"/>
      <c r="S12" s="16"/>
      <c r="T12" s="16"/>
    </row>
    <row r="13" spans="1:20" x14ac:dyDescent="0.2">
      <c r="A13" s="7">
        <v>6591759</v>
      </c>
      <c r="B13" s="7">
        <v>45</v>
      </c>
      <c r="C13" s="7" t="s">
        <v>5</v>
      </c>
      <c r="D13" s="8">
        <v>3</v>
      </c>
      <c r="E13" s="7">
        <v>220</v>
      </c>
      <c r="F13" s="11">
        <f t="shared" si="0"/>
        <v>660</v>
      </c>
      <c r="M13" s="1"/>
      <c r="N13" s="2"/>
      <c r="O13" s="1"/>
      <c r="P13" s="24" t="s">
        <v>50</v>
      </c>
      <c r="Q13" s="16" t="s">
        <v>51</v>
      </c>
      <c r="R13" s="16"/>
      <c r="S13" s="16"/>
      <c r="T13" s="16"/>
    </row>
    <row r="14" spans="1:20" x14ac:dyDescent="0.2">
      <c r="A14" s="7">
        <v>1654144</v>
      </c>
      <c r="B14" s="7">
        <v>29</v>
      </c>
      <c r="C14" s="7" t="s">
        <v>4</v>
      </c>
      <c r="D14" s="8">
        <v>1.5</v>
      </c>
      <c r="E14" s="7">
        <v>120</v>
      </c>
      <c r="F14" s="11">
        <f t="shared" si="0"/>
        <v>180</v>
      </c>
      <c r="H14" s="1"/>
      <c r="I14" s="3" t="s">
        <v>10</v>
      </c>
      <c r="J14" s="3" t="s">
        <v>16</v>
      </c>
      <c r="K14" s="1"/>
      <c r="M14" s="25" t="s">
        <v>52</v>
      </c>
      <c r="N14" s="21" t="b">
        <f>IF(OR(N9,N10), TRUE, FALSE)</f>
        <v>1</v>
      </c>
      <c r="O14" s="1"/>
    </row>
    <row r="15" spans="1:20" x14ac:dyDescent="0.2">
      <c r="A15" s="7">
        <v>5838000</v>
      </c>
      <c r="B15" s="7">
        <v>98</v>
      </c>
      <c r="C15" s="7" t="s">
        <v>3</v>
      </c>
      <c r="D15" s="8">
        <v>2.5</v>
      </c>
      <c r="E15" s="7">
        <v>580</v>
      </c>
      <c r="F15" s="11">
        <f t="shared" si="0"/>
        <v>1450</v>
      </c>
      <c r="H15" s="3" t="s">
        <v>17</v>
      </c>
      <c r="I15" s="12">
        <f>MIN(E2:E30)</f>
        <v>120</v>
      </c>
      <c r="J15" s="13">
        <f>MIN(F2:F30)</f>
        <v>180</v>
      </c>
      <c r="K15" s="1"/>
      <c r="M15" s="1"/>
      <c r="N15" s="2"/>
      <c r="O15" s="1"/>
    </row>
    <row r="16" spans="1:20" x14ac:dyDescent="0.2">
      <c r="A16" s="7">
        <v>2613499</v>
      </c>
      <c r="B16" s="7">
        <v>46</v>
      </c>
      <c r="C16" s="7" t="s">
        <v>5</v>
      </c>
      <c r="D16" s="8">
        <v>3</v>
      </c>
      <c r="E16" s="7">
        <v>830</v>
      </c>
      <c r="F16" s="11">
        <f t="shared" si="0"/>
        <v>2490</v>
      </c>
      <c r="H16" s="3" t="s">
        <v>18</v>
      </c>
      <c r="I16" s="12">
        <f>MAX(E2:E30)</f>
        <v>990</v>
      </c>
      <c r="J16" s="13">
        <f>MAX(F2:F30)</f>
        <v>2490</v>
      </c>
      <c r="K16" s="1"/>
      <c r="M16" s="3" t="s">
        <v>53</v>
      </c>
      <c r="N16" s="2"/>
      <c r="O16" s="1"/>
    </row>
    <row r="17" spans="1:15" x14ac:dyDescent="0.2">
      <c r="A17" s="7">
        <v>6452597</v>
      </c>
      <c r="B17" s="7">
        <v>14</v>
      </c>
      <c r="C17" s="7" t="s">
        <v>4</v>
      </c>
      <c r="D17" s="8">
        <v>1.5</v>
      </c>
      <c r="E17" s="7">
        <v>940</v>
      </c>
      <c r="F17" s="11">
        <f t="shared" si="0"/>
        <v>1410</v>
      </c>
      <c r="H17" s="3" t="s">
        <v>19</v>
      </c>
      <c r="I17" s="12">
        <f>AVERAGE(E2:E30)</f>
        <v>512.75862068965512</v>
      </c>
      <c r="J17" s="13">
        <f>AVERAGE(F2:F30)</f>
        <v>1121.2068965517242</v>
      </c>
      <c r="K17" s="1"/>
      <c r="M17" s="25" t="s">
        <v>54</v>
      </c>
      <c r="N17" s="28">
        <f>N1-N4</f>
        <v>2370</v>
      </c>
      <c r="O17" s="26" t="str">
        <f>IF(N17&gt;0, "Units Over Target", "Units Under Taget")</f>
        <v>Units Over Target</v>
      </c>
    </row>
    <row r="18" spans="1:15" x14ac:dyDescent="0.2">
      <c r="A18" s="7">
        <v>3597671</v>
      </c>
      <c r="B18" s="7">
        <v>72</v>
      </c>
      <c r="C18" s="7" t="s">
        <v>4</v>
      </c>
      <c r="D18" s="8">
        <v>1.5</v>
      </c>
      <c r="E18" s="7">
        <v>860</v>
      </c>
      <c r="F18" s="11">
        <f t="shared" si="0"/>
        <v>1290</v>
      </c>
      <c r="H18" s="2"/>
      <c r="I18" s="1"/>
      <c r="J18" s="2"/>
      <c r="K18" s="1"/>
      <c r="M18" s="25" t="s">
        <v>55</v>
      </c>
      <c r="N18" s="27">
        <f>N2-N5</f>
        <v>7515</v>
      </c>
      <c r="O18" s="26" t="str">
        <f>IF(N18&gt;0, "Units Over Target", "Units Under Taget")</f>
        <v>Units Over Target</v>
      </c>
    </row>
    <row r="19" spans="1:15" x14ac:dyDescent="0.2">
      <c r="A19" s="7">
        <v>3497037</v>
      </c>
      <c r="B19" s="7">
        <v>23</v>
      </c>
      <c r="C19" s="7" t="s">
        <v>4</v>
      </c>
      <c r="D19" s="8">
        <v>1.5</v>
      </c>
      <c r="E19" s="7">
        <v>990</v>
      </c>
      <c r="F19" s="11">
        <f t="shared" si="0"/>
        <v>1485</v>
      </c>
      <c r="H19" s="1"/>
      <c r="I19" s="1"/>
      <c r="J19" s="1"/>
      <c r="K19" s="1"/>
    </row>
    <row r="20" spans="1:15" x14ac:dyDescent="0.2">
      <c r="A20" s="7">
        <v>7245825</v>
      </c>
      <c r="B20" s="7">
        <v>60</v>
      </c>
      <c r="C20" s="7" t="s">
        <v>3</v>
      </c>
      <c r="D20" s="8">
        <v>2.5</v>
      </c>
      <c r="E20" s="7">
        <v>420</v>
      </c>
      <c r="F20" s="11">
        <f t="shared" si="0"/>
        <v>1050</v>
      </c>
      <c r="H20" s="1"/>
      <c r="I20" s="3" t="s">
        <v>4</v>
      </c>
      <c r="J20" s="3" t="s">
        <v>3</v>
      </c>
      <c r="K20" s="3" t="s">
        <v>5</v>
      </c>
    </row>
    <row r="21" spans="1:15" x14ac:dyDescent="0.2">
      <c r="A21" s="7">
        <v>3752341</v>
      </c>
      <c r="B21" s="7">
        <v>98</v>
      </c>
      <c r="C21" s="7" t="s">
        <v>5</v>
      </c>
      <c r="D21" s="8">
        <v>3</v>
      </c>
      <c r="E21" s="7">
        <v>680</v>
      </c>
      <c r="F21" s="11">
        <f t="shared" si="0"/>
        <v>2040</v>
      </c>
      <c r="H21" s="3" t="s">
        <v>20</v>
      </c>
      <c r="I21" s="12">
        <f>AVERAGEIF($C$2:$C$30, I20, $E$2:$E$30)</f>
        <v>563.84615384615381</v>
      </c>
      <c r="J21" s="12">
        <f t="shared" ref="J21:K21" si="4">AVERAGEIF($C$2:$C$30, J20, $E$2:$E$30)</f>
        <v>366.66666666666669</v>
      </c>
      <c r="K21" s="12">
        <f t="shared" si="4"/>
        <v>534</v>
      </c>
    </row>
    <row r="22" spans="1:15" x14ac:dyDescent="0.2">
      <c r="A22" s="7">
        <v>2228642</v>
      </c>
      <c r="B22" s="7">
        <v>28</v>
      </c>
      <c r="C22" s="7" t="s">
        <v>4</v>
      </c>
      <c r="D22" s="8">
        <v>1.5</v>
      </c>
      <c r="E22" s="7">
        <v>500</v>
      </c>
      <c r="F22" s="11">
        <f t="shared" si="0"/>
        <v>750</v>
      </c>
      <c r="H22" s="3" t="s">
        <v>21</v>
      </c>
      <c r="I22" s="14">
        <f>AVERAGEIF($C$2:$C$30, I20, $F$2:$F$30)</f>
        <v>845.76923076923072</v>
      </c>
      <c r="J22" s="14">
        <f t="shared" ref="J22:K22" si="5">AVERAGEIF($C$2:$C$30, J20, $F$2:$F$30)</f>
        <v>916.66666666666663</v>
      </c>
      <c r="K22" s="14">
        <f t="shared" si="5"/>
        <v>1602</v>
      </c>
    </row>
    <row r="23" spans="1:15" x14ac:dyDescent="0.2">
      <c r="A23" s="7">
        <v>6308184</v>
      </c>
      <c r="B23" s="7">
        <v>97</v>
      </c>
      <c r="C23" s="7" t="s">
        <v>4</v>
      </c>
      <c r="D23" s="8">
        <v>1.5</v>
      </c>
      <c r="E23" s="7">
        <v>420</v>
      </c>
      <c r="F23" s="11">
        <f t="shared" si="0"/>
        <v>630</v>
      </c>
      <c r="H23" s="3" t="s">
        <v>22</v>
      </c>
      <c r="I23" s="12"/>
      <c r="J23" s="12"/>
      <c r="K23" s="12"/>
    </row>
    <row r="24" spans="1:15" x14ac:dyDescent="0.2">
      <c r="A24" s="7">
        <v>7322687</v>
      </c>
      <c r="B24" s="7">
        <v>56</v>
      </c>
      <c r="C24" s="7" t="s">
        <v>4</v>
      </c>
      <c r="D24" s="8">
        <v>1.5</v>
      </c>
      <c r="E24" s="7">
        <v>570</v>
      </c>
      <c r="F24" s="11">
        <f t="shared" si="0"/>
        <v>855</v>
      </c>
      <c r="H24" s="3" t="s">
        <v>23</v>
      </c>
      <c r="I24" s="12"/>
      <c r="J24" s="12"/>
      <c r="K24" s="12"/>
    </row>
    <row r="25" spans="1:15" x14ac:dyDescent="0.2">
      <c r="A25" s="7">
        <v>6253313</v>
      </c>
      <c r="B25" s="7">
        <v>19</v>
      </c>
      <c r="C25" s="7" t="s">
        <v>5</v>
      </c>
      <c r="D25" s="8">
        <v>3</v>
      </c>
      <c r="E25" s="7">
        <v>250</v>
      </c>
      <c r="F25" s="11">
        <f t="shared" si="0"/>
        <v>750</v>
      </c>
    </row>
    <row r="26" spans="1:15" x14ac:dyDescent="0.2">
      <c r="A26" s="7">
        <v>7136401</v>
      </c>
      <c r="B26" s="7">
        <v>16</v>
      </c>
      <c r="C26" s="7" t="s">
        <v>4</v>
      </c>
      <c r="D26" s="8">
        <v>1.5</v>
      </c>
      <c r="E26" s="7">
        <v>920</v>
      </c>
      <c r="F26" s="11">
        <f t="shared" si="0"/>
        <v>1380</v>
      </c>
    </row>
    <row r="27" spans="1:15" x14ac:dyDescent="0.2">
      <c r="A27" s="7">
        <v>5693278</v>
      </c>
      <c r="B27" s="7">
        <v>17</v>
      </c>
      <c r="C27" s="7" t="s">
        <v>3</v>
      </c>
      <c r="D27" s="8">
        <v>2.5</v>
      </c>
      <c r="E27" s="7">
        <v>360</v>
      </c>
      <c r="F27" s="11">
        <f t="shared" si="0"/>
        <v>900</v>
      </c>
    </row>
    <row r="28" spans="1:15" x14ac:dyDescent="0.2">
      <c r="A28" s="7">
        <v>2637109</v>
      </c>
      <c r="B28" s="7">
        <v>98</v>
      </c>
      <c r="C28" s="7" t="s">
        <v>4</v>
      </c>
      <c r="D28" s="8">
        <v>1.5</v>
      </c>
      <c r="E28" s="7">
        <v>240</v>
      </c>
      <c r="F28" s="11">
        <f t="shared" si="0"/>
        <v>360</v>
      </c>
    </row>
    <row r="29" spans="1:15" x14ac:dyDescent="0.2">
      <c r="A29" s="7">
        <v>4298027</v>
      </c>
      <c r="B29" s="7">
        <v>96</v>
      </c>
      <c r="C29" s="7" t="s">
        <v>5</v>
      </c>
      <c r="D29" s="8">
        <v>3</v>
      </c>
      <c r="E29" s="7">
        <v>450</v>
      </c>
      <c r="F29" s="11">
        <f t="shared" si="0"/>
        <v>1350</v>
      </c>
    </row>
    <row r="30" spans="1:15" x14ac:dyDescent="0.2">
      <c r="A30" s="7">
        <v>1698653</v>
      </c>
      <c r="B30" s="7">
        <v>64</v>
      </c>
      <c r="C30" s="7" t="s">
        <v>5</v>
      </c>
      <c r="D30" s="8">
        <v>3</v>
      </c>
      <c r="E30" s="7">
        <v>720</v>
      </c>
      <c r="F30" s="11">
        <f t="shared" si="0"/>
        <v>2160</v>
      </c>
    </row>
    <row r="45" spans="4:5" x14ac:dyDescent="0.2">
      <c r="D45" s="1"/>
      <c r="E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2017-09-23T20:42:40Z</dcterms:created>
  <dcterms:modified xsi:type="dcterms:W3CDTF">2026-03-31T09:25:15Z</dcterms:modified>
</cp:coreProperties>
</file>